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x\Desktop\moknowslife\"/>
    </mc:Choice>
  </mc:AlternateContent>
  <xr:revisionPtr revIDLastSave="0" documentId="13_ncr:1_{605D43B1-63BE-4EEF-A2C6-E7E0A7BCD2A5}" xr6:coauthVersionLast="47" xr6:coauthVersionMax="47" xr10:uidLastSave="{00000000-0000-0000-0000-000000000000}"/>
  <bookViews>
    <workbookView xWindow="9450" yWindow="80" windowWidth="10110" windowHeight="10060" firstSheet="15" activeTab="15" xr2:uid="{2DC0B4D0-D87A-C545-B35D-63A2BC1604EB}"/>
  </bookViews>
  <sheets>
    <sheet name="Athlete Data" sheetId="1" r:id="rId1"/>
    <sheet name="Runs" sheetId="4" r:id="rId2"/>
    <sheet name="Lifts" sheetId="5" r:id="rId3"/>
    <sheet name="Track Test" sheetId="6" r:id="rId4"/>
    <sheet name="Lift Test" sheetId="7" r:id="rId5"/>
    <sheet name="July Trends" sheetId="2" r:id="rId6"/>
    <sheet name="300m @85% CISTI" sheetId="17" r:id="rId7"/>
    <sheet name="200m Split CISTI" sheetId="16" r:id="rId8"/>
    <sheet name="200m break CISTI" sheetId="15" r:id="rId9"/>
    <sheet name="2x150m CISTI" sheetId="14" r:id="rId10"/>
    <sheet name="3x300m CISTI" sheetId="13" r:id="rId11"/>
    <sheet name="2x100 CISTI" sheetId="12" r:id="rId12"/>
    <sheet name="Consistency vs Distance" sheetId="8" r:id="rId13"/>
    <sheet name="Effort vs Time" sheetId="9" r:id="rId14"/>
    <sheet name="Performance vs Distance" sheetId="10" r:id="rId15"/>
    <sheet name="Drop % vs Distance" sheetId="11" r:id="rId16"/>
    <sheet name="July Review" sheetId="3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H18" i="2"/>
  <c r="G18" i="2"/>
  <c r="F18" i="2"/>
  <c r="E18" i="2"/>
  <c r="C18" i="2"/>
  <c r="B18" i="2"/>
  <c r="O6" i="2"/>
  <c r="P6" i="2"/>
  <c r="N6" i="2"/>
  <c r="K6" i="2"/>
  <c r="M6" i="2" l="1"/>
  <c r="J6" i="2"/>
  <c r="O14" i="1" l="1"/>
  <c r="AA14" i="1"/>
  <c r="AA13" i="1"/>
  <c r="AA12" i="1"/>
  <c r="Z14" i="1"/>
  <c r="Z13" i="1"/>
  <c r="Z12" i="1"/>
  <c r="Y14" i="1"/>
  <c r="Y13" i="1"/>
  <c r="Y12" i="1"/>
  <c r="X14" i="1"/>
  <c r="X13" i="1"/>
  <c r="X12" i="1"/>
  <c r="W14" i="1"/>
  <c r="W13" i="1"/>
  <c r="W12" i="1"/>
  <c r="V14" i="1"/>
  <c r="V13" i="1"/>
  <c r="V12" i="1"/>
  <c r="U14" i="1"/>
  <c r="U13" i="1"/>
  <c r="U12" i="1"/>
  <c r="T14" i="1"/>
  <c r="T13" i="1"/>
  <c r="T12" i="1"/>
  <c r="S14" i="1"/>
  <c r="S13" i="1"/>
  <c r="S12" i="1"/>
  <c r="R14" i="1"/>
  <c r="R13" i="1"/>
  <c r="R12" i="1"/>
  <c r="Q14" i="1"/>
  <c r="Q13" i="1"/>
  <c r="Q12" i="1"/>
  <c r="P14" i="1"/>
  <c r="P13" i="1"/>
  <c r="P12" i="1"/>
  <c r="O13" i="1"/>
  <c r="O12" i="1"/>
  <c r="G14" i="1"/>
  <c r="G13" i="1"/>
  <c r="G12" i="1"/>
  <c r="F12" i="1"/>
  <c r="K14" i="1"/>
  <c r="K13" i="1"/>
  <c r="K12" i="1"/>
  <c r="J14" i="1"/>
  <c r="J13" i="1"/>
  <c r="J12" i="1"/>
  <c r="I14" i="1"/>
  <c r="I13" i="1"/>
  <c r="I12" i="1"/>
  <c r="H14" i="1"/>
  <c r="H13" i="1"/>
  <c r="H12" i="1"/>
  <c r="F14" i="1"/>
  <c r="F13" i="1"/>
  <c r="E14" i="1"/>
  <c r="E13" i="1"/>
  <c r="E12" i="1"/>
  <c r="C13" i="1"/>
  <c r="C14" i="1"/>
  <c r="C12" i="1"/>
  <c r="D12" i="1" l="1"/>
  <c r="D19" i="1"/>
  <c r="D13" i="1" s="1"/>
  <c r="D14" i="1"/>
</calcChain>
</file>

<file path=xl/sharedStrings.xml><?xml version="1.0" encoding="utf-8"?>
<sst xmlns="http://schemas.openxmlformats.org/spreadsheetml/2006/main" count="398" uniqueCount="197">
  <si>
    <t>Name</t>
  </si>
  <si>
    <t>Height</t>
  </si>
  <si>
    <t>Weight</t>
  </si>
  <si>
    <t>Age</t>
  </si>
  <si>
    <t>100m</t>
  </si>
  <si>
    <t>200m</t>
  </si>
  <si>
    <t>Sprint Mobility</t>
  </si>
  <si>
    <t>Agility</t>
  </si>
  <si>
    <t>Slowest</t>
  </si>
  <si>
    <t>Latest</t>
  </si>
  <si>
    <t>Fastest</t>
  </si>
  <si>
    <t>Current PR</t>
  </si>
  <si>
    <t>Goal</t>
  </si>
  <si>
    <t>???</t>
  </si>
  <si>
    <t>LJ</t>
  </si>
  <si>
    <t>Push up Reps</t>
  </si>
  <si>
    <t>Lunge MTRX</t>
  </si>
  <si>
    <t>Highest</t>
  </si>
  <si>
    <t>Least</t>
  </si>
  <si>
    <t>OVHD Thr (m)</t>
  </si>
  <si>
    <t>CHST Thr (m)</t>
  </si>
  <si>
    <t>SQT (reps)</t>
  </si>
  <si>
    <t>Lift</t>
  </si>
  <si>
    <t>Track</t>
  </si>
  <si>
    <t>Dead Hang (s)</t>
  </si>
  <si>
    <t>ISO Hld R (s)</t>
  </si>
  <si>
    <t>ISO Hld L (s)</t>
  </si>
  <si>
    <t>Wall Sit (s)</t>
  </si>
  <si>
    <t>Push up Hld L (s)</t>
  </si>
  <si>
    <t>Push up Hld H (s)</t>
  </si>
  <si>
    <t>SL Hld R (s)</t>
  </si>
  <si>
    <t>SL Hld L (s)</t>
  </si>
  <si>
    <t>SL Bound (s)</t>
  </si>
  <si>
    <t>Core (reps)</t>
  </si>
  <si>
    <t>Fly Zone (s)</t>
  </si>
  <si>
    <t xml:space="preserve">OVHD SQT </t>
  </si>
  <si>
    <t xml:space="preserve">Performance vs Distance </t>
  </si>
  <si>
    <t>Drop % vs Distance</t>
  </si>
  <si>
    <t>150 Float Fly</t>
  </si>
  <si>
    <t>200 Float Fly</t>
  </si>
  <si>
    <t>Consistency vs Distance</t>
  </si>
  <si>
    <t>Effort vs Time</t>
  </si>
  <si>
    <t>Metric</t>
  </si>
  <si>
    <t>Score</t>
  </si>
  <si>
    <t>Notes</t>
  </si>
  <si>
    <t>C</t>
  </si>
  <si>
    <t>I</t>
  </si>
  <si>
    <t>S</t>
  </si>
  <si>
    <t>T</t>
  </si>
  <si>
    <t>CISTI</t>
  </si>
  <si>
    <t>150m @75%</t>
  </si>
  <si>
    <t>CISTI Score: 3.4 / 5</t>
  </si>
  <si>
    <t>CISTI Score: 3.7 / 5</t>
  </si>
  <si>
    <t>200m Breakdown</t>
  </si>
  <si>
    <t>Spread 3.94, Drop 0.137 — bigger variability than we want</t>
  </si>
  <si>
    <t>Best rep (28.7) is good, but not elite</t>
  </si>
  <si>
    <t>You can tell fatigue crept in, last rep slower</t>
  </si>
  <si>
    <t>Shin/knee angles breakdown by rep 3</t>
  </si>
  <si>
    <t>Not much pop in last 50m — survival mode energy</t>
  </si>
  <si>
    <t>CISTI Score: 3.0 / 5</t>
  </si>
  <si>
    <t>300m @75%</t>
  </si>
  <si>
    <t>Mid-56s for 75% → pacing accurate, not sharp</t>
  </si>
  <si>
    <t>Hips drop, posture fades in last 80m</t>
  </si>
  <si>
    <t>Technique in place but less mechanical pop</t>
  </si>
  <si>
    <t>More rhythm than aggression, not assertive</t>
  </si>
  <si>
    <t>CISTI Score: 3.3 / 5</t>
  </si>
  <si>
    <t>150</t>
  </si>
  <si>
    <t>300</t>
  </si>
  <si>
    <t>What types of sessions were run?</t>
  </si>
  <si>
    <r>
      <t>Session Types Run</t>
    </r>
    <r>
      <rPr>
        <sz val="12"/>
        <color theme="1"/>
        <rFont val="Aptos Narrow"/>
        <family val="2"/>
        <scheme val="minor"/>
      </rPr>
      <t>:</t>
    </r>
  </si>
  <si>
    <r>
      <t>Acceleration (ACC)</t>
    </r>
    <r>
      <rPr>
        <sz val="12"/>
        <color theme="1"/>
        <rFont val="Aptos Narrow"/>
        <family val="2"/>
        <scheme val="minor"/>
      </rPr>
      <t xml:space="preserve"> – e.g., 2x30m Fly, 3x150m @75%</t>
    </r>
  </si>
  <si>
    <r>
      <t>Speed Endurance (SE)</t>
    </r>
    <r>
      <rPr>
        <sz val="12"/>
        <color theme="1"/>
        <rFont val="Aptos Narrow"/>
        <family val="2"/>
        <scheme val="minor"/>
      </rPr>
      <t xml:space="preserve"> – 3x300m @75%, 4x300m @ Race Pace</t>
    </r>
  </si>
  <si>
    <r>
      <t>Rhythm (RHY)</t>
    </r>
    <r>
      <rPr>
        <sz val="12"/>
        <color theme="1"/>
        <rFont val="Aptos Narrow"/>
        <family val="2"/>
        <scheme val="minor"/>
      </rPr>
      <t xml:space="preserve"> – 2x200m Float Fly, 150m Float Fly</t>
    </r>
  </si>
  <si>
    <r>
      <t>Capacity/Threshold (CAP)</t>
    </r>
    <r>
      <rPr>
        <sz val="12"/>
        <color theme="1"/>
        <rFont val="Aptos Narrow"/>
        <family val="2"/>
        <scheme val="minor"/>
      </rPr>
      <t xml:space="preserve"> – 3x200m Breakdowns</t>
    </r>
  </si>
  <si>
    <r>
      <t>Recovery (REC)</t>
    </r>
    <r>
      <rPr>
        <sz val="12"/>
        <color theme="1"/>
        <rFont val="Aptos Narrow"/>
        <family val="2"/>
        <scheme val="minor"/>
      </rPr>
      <t xml:space="preserve"> – Ins &amp; Outs, Jog/Steps sessions (Tuesday)</t>
    </r>
  </si>
  <si>
    <t>Did the week have a balanced blend? (ACC, SE, RHY, CAP, REC)</t>
  </si>
  <si>
    <r>
      <t>Blend of Sessions</t>
    </r>
    <r>
      <rPr>
        <sz val="12"/>
        <color theme="1"/>
        <rFont val="Aptos Narrow"/>
        <family val="2"/>
        <scheme val="minor"/>
      </rPr>
      <t>:</t>
    </r>
  </si>
  <si>
    <r>
      <t xml:space="preserve">Yes. There is a </t>
    </r>
    <r>
      <rPr>
        <b/>
        <sz val="12"/>
        <color theme="1"/>
        <rFont val="Aptos Narrow"/>
        <family val="2"/>
        <scheme val="minor"/>
      </rPr>
      <t>balanced distribution</t>
    </r>
    <r>
      <rPr>
        <sz val="12"/>
        <color theme="1"/>
        <rFont val="Aptos Narrow"/>
        <family val="2"/>
        <scheme val="minor"/>
      </rPr>
      <t xml:space="preserve"> of speed, rhythm, and capacity development.</t>
    </r>
  </si>
  <si>
    <t>Recovery is built in (Tuesday’s Ins &amp; Outs), allowing for pacing between high CNS days.</t>
  </si>
  <si>
    <t>Was there a progression or spike in intensity?</t>
  </si>
  <si>
    <t>Volume and CNS demand peaked Friday (Race Pace 300s).</t>
  </si>
  <si>
    <t>July Interpretation Strateg</t>
  </si>
  <si>
    <t>Session Type Overview</t>
  </si>
  <si>
    <r>
      <t xml:space="preserve"> Mid-week spike: Wednesday features </t>
    </r>
    <r>
      <rPr>
        <b/>
        <sz val="12"/>
        <color theme="1"/>
        <rFont val="Aptos Narrow"/>
        <family val="2"/>
        <scheme val="minor"/>
      </rPr>
      <t>two high-load speed endurance sessions</t>
    </r>
    <r>
      <rPr>
        <sz val="12"/>
        <color theme="1"/>
        <rFont val="Aptos Narrow"/>
        <family val="2"/>
        <scheme val="minor"/>
      </rPr>
      <t xml:space="preserve"> (300m and 150m)</t>
    </r>
  </si>
  <si>
    <t xml:space="preserve"> Followed by capacity floats and breakdowns later in the week.</t>
  </si>
  <si>
    <t>Fatigue &amp; Drop Analysis</t>
  </si>
  <si>
    <r>
      <t>Drop % Trends</t>
    </r>
    <r>
      <rPr>
        <sz val="12"/>
        <color theme="1"/>
        <rFont val="Aptos Narrow"/>
        <family val="2"/>
        <scheme val="minor"/>
      </rPr>
      <t>:</t>
    </r>
  </si>
  <si>
    <r>
      <t xml:space="preserve">📈 </t>
    </r>
    <r>
      <rPr>
        <i/>
        <sz val="12"/>
        <color theme="1"/>
        <rFont val="Aptos Narrow"/>
        <family val="2"/>
        <scheme val="minor"/>
      </rPr>
      <t>Wednesday</t>
    </r>
    <r>
      <rPr>
        <sz val="12"/>
        <color theme="1"/>
        <rFont val="Aptos Narrow"/>
        <family val="2"/>
        <scheme val="minor"/>
      </rPr>
      <t>: Drop values are moderate but manageable.</t>
    </r>
  </si>
  <si>
    <r>
      <t xml:space="preserve">📉 </t>
    </r>
    <r>
      <rPr>
        <i/>
        <sz val="12"/>
        <color theme="1"/>
        <rFont val="Aptos Narrow"/>
        <family val="2"/>
        <scheme val="minor"/>
      </rPr>
      <t>Thursday</t>
    </r>
    <r>
      <rPr>
        <sz val="12"/>
        <color theme="1"/>
        <rFont val="Aptos Narrow"/>
        <family val="2"/>
        <scheme val="minor"/>
      </rPr>
      <t>: Fatigue surfaces more clearly:</t>
    </r>
  </si>
  <si>
    <r>
      <t xml:space="preserve">📈 </t>
    </r>
    <r>
      <rPr>
        <i/>
        <sz val="12"/>
        <color theme="1"/>
        <rFont val="Aptos Narrow"/>
        <family val="2"/>
        <scheme val="minor"/>
      </rPr>
      <t>Friday</t>
    </r>
    <r>
      <rPr>
        <sz val="12"/>
        <color theme="1"/>
        <rFont val="Aptos Narrow"/>
        <family val="2"/>
        <scheme val="minor"/>
      </rPr>
      <t xml:space="preserve">: Fatigue dips again slightly with a manageable drop of </t>
    </r>
    <r>
      <rPr>
        <b/>
        <sz val="12"/>
        <color theme="1"/>
        <rFont val="Aptos Narrow"/>
        <family val="2"/>
        <scheme val="minor"/>
      </rPr>
      <t>0.093</t>
    </r>
    <r>
      <rPr>
        <sz val="12"/>
        <color theme="1"/>
        <rFont val="Aptos Narrow"/>
        <family val="2"/>
        <scheme val="minor"/>
      </rPr>
      <t xml:space="preserve"> on the Race Pace 300s.</t>
    </r>
  </si>
  <si>
    <r>
      <t>Fatigue becomes more visible on Thursday</t>
    </r>
    <r>
      <rPr>
        <sz val="12"/>
        <color theme="1"/>
        <rFont val="Aptos Narrow"/>
        <family val="2"/>
        <scheme val="minor"/>
      </rPr>
      <t>, likely due to cumulative CNS load from Wednesday.</t>
    </r>
  </si>
  <si>
    <r>
      <t xml:space="preserve">200m Float Fly: </t>
    </r>
    <r>
      <rPr>
        <b/>
        <sz val="12"/>
        <color theme="1"/>
        <rFont val="Aptos Narrow"/>
        <scheme val="minor"/>
      </rPr>
      <t>0.224</t>
    </r>
  </si>
  <si>
    <r>
      <t xml:space="preserve">150m: </t>
    </r>
    <r>
      <rPr>
        <b/>
        <sz val="12"/>
        <color theme="1"/>
        <rFont val="Aptos Narrow"/>
        <scheme val="minor"/>
      </rPr>
      <t>0.375</t>
    </r>
  </si>
  <si>
    <r>
      <t xml:space="preserve">300m: </t>
    </r>
    <r>
      <rPr>
        <b/>
        <sz val="12"/>
        <color theme="1"/>
        <rFont val="Aptos Narrow"/>
        <scheme val="minor"/>
      </rPr>
      <t>0.086</t>
    </r>
  </si>
  <si>
    <t>Interpretation</t>
  </si>
  <si>
    <t>Performance in breakdowns (Thursday) shows diminishing posture and rhythm</t>
  </si>
  <si>
    <t>Indicating survival mechanics—fatigue confirmed both quantitatively and qualitatively.</t>
  </si>
  <si>
    <t>Spread &amp; Consistency Check</t>
  </si>
  <si>
    <t>Distance</t>
  </si>
  <si>
    <t>Spread</t>
  </si>
  <si>
    <t>Drop</t>
  </si>
  <si>
    <t>Output Quality</t>
  </si>
  <si>
    <t>30m</t>
  </si>
  <si>
    <r>
      <t xml:space="preserve">✅ </t>
    </r>
    <r>
      <rPr>
        <i/>
        <sz val="12"/>
        <color theme="1"/>
        <rFont val="Aptos Narrow"/>
        <family val="2"/>
        <scheme val="minor"/>
      </rPr>
      <t>Elite consistency</t>
    </r>
  </si>
  <si>
    <t>150m</t>
  </si>
  <si>
    <r>
      <t xml:space="preserve">❌ </t>
    </r>
    <r>
      <rPr>
        <i/>
        <sz val="12"/>
        <color theme="1"/>
        <rFont val="Aptos Narrow"/>
        <family val="2"/>
        <scheme val="minor"/>
      </rPr>
      <t>Significant variability</t>
    </r>
  </si>
  <si>
    <r>
      <t xml:space="preserve">⚠️ </t>
    </r>
    <r>
      <rPr>
        <i/>
        <sz val="12"/>
        <color theme="1"/>
        <rFont val="Aptos Narrow"/>
        <family val="2"/>
        <scheme val="minor"/>
      </rPr>
      <t>Decent control, some drop</t>
    </r>
  </si>
  <si>
    <t>3.65 – 5.83</t>
  </si>
  <si>
    <t>0.120 – 0.224</t>
  </si>
  <si>
    <r>
      <t xml:space="preserve">❌ </t>
    </r>
    <r>
      <rPr>
        <i/>
        <sz val="12"/>
        <color theme="1"/>
        <rFont val="Aptos Narrow"/>
        <family val="2"/>
        <scheme val="minor"/>
      </rPr>
      <t>High variance, fatigue evident</t>
    </r>
  </si>
  <si>
    <t>200 Breakdown</t>
  </si>
  <si>
    <r>
      <t xml:space="preserve">❌ </t>
    </r>
    <r>
      <rPr>
        <i/>
        <sz val="12"/>
        <color theme="1"/>
        <rFont val="Aptos Narrow"/>
        <family val="2"/>
        <scheme val="minor"/>
      </rPr>
      <t>Loss of posture and rhythm</t>
    </r>
  </si>
  <si>
    <t>300m</t>
  </si>
  <si>
    <r>
      <t xml:space="preserve">⚠️ </t>
    </r>
    <r>
      <rPr>
        <i/>
        <sz val="12"/>
        <color theme="1"/>
        <rFont val="Aptos Narrow"/>
        <family val="2"/>
        <scheme val="minor"/>
      </rPr>
      <t>Manageable, but close to inconsistent</t>
    </r>
  </si>
  <si>
    <t>CISTI Reflection Summary</t>
  </si>
  <si>
    <t>Total</t>
  </si>
  <si>
    <t>30m Fly</t>
  </si>
  <si>
    <t>Elite. Sharp posture, controlled contact.</t>
  </si>
  <si>
    <t>Mid-rep fades, effort isn't electric.</t>
  </si>
  <si>
    <t>Angles improving; energy okay.</t>
  </si>
  <si>
    <t>Controlled but posture decay.</t>
  </si>
  <si>
    <t>Biggest fatigue signal. Loss of rhythm.</t>
  </si>
  <si>
    <t>Rhythm &gt; sharpness. Pacing accurate.</t>
  </si>
  <si>
    <t>Summary &amp; Talking Points</t>
  </si>
  <si>
    <r>
      <t>High Performance Highlight</t>
    </r>
    <r>
      <rPr>
        <sz val="12"/>
        <color theme="1"/>
        <rFont val="Aptos Narrow"/>
        <family val="2"/>
        <scheme val="minor"/>
      </rPr>
      <t>: 30m Fly – elite mechanical consistency. Suggests short-distance acceleration is well-grooved.</t>
    </r>
  </si>
  <si>
    <r>
      <t>Biggest Fatigue Point</t>
    </r>
    <r>
      <rPr>
        <sz val="12"/>
        <color theme="1"/>
        <rFont val="Aptos Narrow"/>
        <family val="2"/>
        <scheme val="minor"/>
      </rPr>
      <t>: Thursday’s 200m float flies and breakdowns – high drop %, inconsistent form.</t>
    </r>
  </si>
  <si>
    <r>
      <t>Mechanical Watchlist</t>
    </r>
    <r>
      <rPr>
        <sz val="12"/>
        <color theme="1"/>
        <rFont val="Aptos Narrow"/>
        <family val="2"/>
        <scheme val="minor"/>
      </rPr>
      <t>: Back-leg posture (kickstand position), fatigue fade in final reps, hip pop variance.</t>
    </r>
  </si>
  <si>
    <r>
      <t>Training Strategy</t>
    </r>
    <r>
      <rPr>
        <sz val="12"/>
        <color theme="1"/>
        <rFont val="Aptos Narrow"/>
        <family val="2"/>
        <scheme val="minor"/>
      </rPr>
      <t>:</t>
    </r>
  </si>
  <si>
    <t>Re-balance early-week rhythm vs. end-week load.</t>
  </si>
  <si>
    <t>Watch mechanical consistency on longer reps.</t>
  </si>
  <si>
    <t>Consider reducing total breakdown volume or splitting over two days.</t>
  </si>
  <si>
    <t>Vert (in)</t>
  </si>
  <si>
    <t>200</t>
  </si>
  <si>
    <t>100</t>
  </si>
  <si>
    <t>200 Breakdowns</t>
  </si>
  <si>
    <t>Spread 0.70s → manageable</t>
  </si>
  <si>
    <t>Times don’t push max effort but show rhythm</t>
  </si>
  <si>
    <t>Lacks turnover after 70m</t>
  </si>
  <si>
    <t>Posture is intact, controlled angles</t>
  </si>
  <si>
    <t>Intent appears measured, not explosive</t>
  </si>
  <si>
    <t>2x100m</t>
  </si>
  <si>
    <t>Spread = 7.23 → high rep variability</t>
  </si>
  <si>
    <t>Effort present, not elite force</t>
  </si>
  <si>
    <t>First rep good, but fade noticeable</t>
  </si>
  <si>
    <t>Form decays at 200m+ zone</t>
  </si>
  <si>
    <t>Intent strong early, fades late</t>
  </si>
  <si>
    <t>CISTI Score: 3.8 / 5</t>
  </si>
  <si>
    <t>3x300m @ 85%</t>
  </si>
  <si>
    <t>2x150m Split (1 Float, 1 Full)</t>
  </si>
  <si>
    <t>Spread = 1.93 → moderate drop</t>
  </si>
  <si>
    <t>Float handled well, full effort decays</t>
  </si>
  <si>
    <t>Accel to max velocity not crisp</t>
  </si>
  <si>
    <t>Body angles stay mostly sound</t>
  </si>
  <si>
    <t>Intent is present but not dominant</t>
  </si>
  <si>
    <t>300m @85%</t>
  </si>
  <si>
    <t>C – Consistency</t>
  </si>
  <si>
    <t>Spread 4.53, Drop 0.093 — moderate consistency</t>
  </si>
  <si>
    <t>I – Intensity</t>
  </si>
  <si>
    <t>S – Speed</t>
  </si>
  <si>
    <t>T – Technique</t>
  </si>
  <si>
    <t>I – Intent</t>
  </si>
  <si>
    <t>200m Split (1 Float, 1 Full)</t>
  </si>
  <si>
    <t>Split control is accurate, float section consistent</t>
  </si>
  <si>
    <t>Final 100m had strong push</t>
  </si>
  <si>
    <t>Punchier rhythm than other 200s</t>
  </si>
  <si>
    <t>Some lift return, slightly better back-leg action</t>
  </si>
  <si>
    <t>Power return in last 50m — not reckless, but forceful</t>
  </si>
  <si>
    <t xml:space="preserve">Malachi </t>
  </si>
  <si>
    <t xml:space="preserve">Event Group: </t>
  </si>
  <si>
    <t xml:space="preserve">Season: </t>
  </si>
  <si>
    <t>Club/Sponser:</t>
  </si>
  <si>
    <t>Macrocycle</t>
  </si>
  <si>
    <t>Fall School Year</t>
  </si>
  <si>
    <t>Phases</t>
  </si>
  <si>
    <t>GPP (Tech Mastery + Joint Resilience</t>
  </si>
  <si>
    <t>SPP (Acceleration, Top-End Speed, Rhythm/force)</t>
  </si>
  <si>
    <t>Transition &amp; Holiday</t>
  </si>
  <si>
    <t>Themes</t>
  </si>
  <si>
    <t>Foundation Forge</t>
  </si>
  <si>
    <t>Load + Launch</t>
  </si>
  <si>
    <t>Power Tower</t>
  </si>
  <si>
    <t>Precision &amp; Pop</t>
  </si>
  <si>
    <t>Test</t>
  </si>
  <si>
    <t>Attack</t>
  </si>
  <si>
    <t>Root Work</t>
  </si>
  <si>
    <t>Shin Fire</t>
  </si>
  <si>
    <t>Fly Zone Rhythem</t>
  </si>
  <si>
    <t>Silent Kill</t>
  </si>
  <si>
    <t>Re-Measure &amp; Rebuild</t>
  </si>
  <si>
    <t>Weeks</t>
  </si>
  <si>
    <t>Overall</t>
  </si>
  <si>
    <t>Intent</t>
  </si>
  <si>
    <t>Technique</t>
  </si>
  <si>
    <t>Speed</t>
  </si>
  <si>
    <t>Intensity</t>
  </si>
  <si>
    <t>Consistency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</si>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</sst>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rgb="FFFA7D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7" borderId="17" applyNumberFormat="0" applyAlignment="0" applyProtection="0"/>
  </cellStyleXfs>
  <cellXfs count="91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8" xfId="0" applyFill="1" applyBorder="1"/>
    <xf numFmtId="0" fontId="0" fillId="4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6" borderId="12" xfId="0" applyFill="1" applyBorder="1"/>
    <xf numFmtId="0" fontId="0" fillId="6" borderId="7" xfId="0" applyFill="1" applyBorder="1"/>
    <xf numFmtId="0" fontId="0" fillId="6" borderId="13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/>
    <xf numFmtId="0" fontId="0" fillId="0" borderId="18" xfId="0" applyBorder="1"/>
    <xf numFmtId="0" fontId="3" fillId="7" borderId="17" xfId="1"/>
    <xf numFmtId="0" fontId="5" fillId="0" borderId="0" xfId="0" applyFont="1"/>
    <xf numFmtId="0" fontId="4" fillId="0" borderId="0" xfId="0" applyFont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4" fillId="0" borderId="1" xfId="0" applyFont="1" applyBorder="1"/>
    <xf numFmtId="0" fontId="0" fillId="0" borderId="22" xfId="0" applyBorder="1"/>
    <xf numFmtId="0" fontId="0" fillId="0" borderId="23" xfId="0" applyBorder="1"/>
    <xf numFmtId="0" fontId="4" fillId="0" borderId="10" xfId="0" applyFont="1" applyBorder="1"/>
    <xf numFmtId="0" fontId="0" fillId="0" borderId="11" xfId="0" applyBorder="1"/>
    <xf numFmtId="0" fontId="0" fillId="0" borderId="10" xfId="0" applyBorder="1"/>
    <xf numFmtId="0" fontId="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29" xfId="0" applyBorder="1"/>
    <xf numFmtId="0" fontId="7" fillId="0" borderId="10" xfId="0" applyFont="1" applyBorder="1"/>
    <xf numFmtId="0" fontId="0" fillId="0" borderId="7" xfId="0" applyBorder="1"/>
    <xf numFmtId="0" fontId="4" fillId="0" borderId="7" xfId="0" applyFont="1" applyBorder="1"/>
    <xf numFmtId="0" fontId="4" fillId="0" borderId="12" xfId="0" applyFont="1" applyBorder="1"/>
    <xf numFmtId="0" fontId="0" fillId="0" borderId="0" xfId="0" applyAlignment="1">
      <alignment horizontal="center"/>
    </xf>
    <xf numFmtId="0" fontId="0" fillId="0" borderId="35" xfId="0" applyBorder="1"/>
    <xf numFmtId="0" fontId="1" fillId="0" borderId="35" xfId="0" applyFont="1" applyBorder="1"/>
    <xf numFmtId="47" fontId="0" fillId="0" borderId="35" xfId="0" applyNumberFormat="1" applyBorder="1"/>
    <xf numFmtId="0" fontId="5" fillId="0" borderId="0" xfId="0" applyFont="1" applyAlignment="1">
      <alignment horizontal="center"/>
    </xf>
    <xf numFmtId="0" fontId="0" fillId="0" borderId="27" xfId="0" applyBorder="1"/>
    <xf numFmtId="0" fontId="0" fillId="10" borderId="1" xfId="0" applyFill="1" applyBorder="1" applyAlignment="1">
      <alignment horizontal="center" vertical="top"/>
    </xf>
    <xf numFmtId="0" fontId="0" fillId="10" borderId="1" xfId="0" applyFill="1" applyBorder="1"/>
    <xf numFmtId="0" fontId="0" fillId="15" borderId="1" xfId="0" applyFill="1" applyBorder="1"/>
    <xf numFmtId="0" fontId="0" fillId="9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</cellXfs>
  <cellStyles count="2">
    <cellStyle name="Calculation" xfId="1" builtinId="22"/>
    <cellStyle name="Normal" xfId="0" builtinId="0"/>
  </cellStyles>
  <dxfs count="4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uriceadika/Dropbox/Mo%20Betterment/Mpango/Coaching/Track/2025%20scheduled%20workouts/Athletes/Malachi%20July.xlsx" TargetMode="External"/><Relationship Id="rId1" Type="http://schemas.openxmlformats.org/officeDocument/2006/relationships/externalLinkPath" Target="/Users/mauriceadika/Dropbox/Mo%20Betterment/Mpango/Coaching/Track/2025%20scheduled%20workouts/Athletes/Malachi%20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 Resul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C02DE-2D5D-7D40-85EF-F81050C9FC18}" name="Table1" displayName="Table1" ref="C11:L19" totalsRowShown="0" headerRowDxfId="28" headerRowBorderDxfId="27" tableBorderDxfId="26" totalsRowBorderDxfId="25">
  <autoFilter ref="C11:L19" xr:uid="{EEDC02DE-2D5D-7D40-85EF-F81050C9FC18}"/>
  <tableColumns count="10">
    <tableColumn id="1" xr3:uid="{048AFF85-9091-DC41-BF81-0EC21AED8A3C}" name="100m" dataDxfId="24"/>
    <tableColumn id="2" xr3:uid="{DCFEA617-7C5C-274C-A933-28199B91A26F}" name="200m" dataDxfId="23">
      <calculatedColumnFormula>MIN(D15:D76)</calculatedColumnFormula>
    </tableColumn>
    <tableColumn id="3" xr3:uid="{F4608705-3ADC-8E4D-9650-2CDBAB55B6D7}" name="Vert (in)" dataDxfId="22"/>
    <tableColumn id="4" xr3:uid="{074A7B21-860D-9648-962C-F8216D337AD7}" name="SL Hld R (s)" dataDxfId="21"/>
    <tableColumn id="14" xr3:uid="{A1BEFE7D-C4A0-CF4C-96D1-FD26C7104FF3}" name="SL Hld L (s)" dataDxfId="20"/>
    <tableColumn id="5" xr3:uid="{8615D628-74B3-D048-933B-61E28AFC4415}" name="SL Bound (s)" dataDxfId="19"/>
    <tableColumn id="6" xr3:uid="{19705373-2B1C-4347-BA06-128560A58D6A}" name="Core (reps)" dataDxfId="18"/>
    <tableColumn id="7" xr3:uid="{512C62B0-B7CB-E74D-99A0-FD1121F81626}" name="Fly Zone (s)" dataDxfId="17"/>
    <tableColumn id="8" xr3:uid="{38CACE4B-904E-4044-A61A-A14D2F296A19}" name="Sprint Mobility" dataDxfId="16"/>
    <tableColumn id="9" xr3:uid="{56D830E8-3039-7C43-8CA9-66817653CF02}" name="Agilit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0017A-9E91-0148-AE7B-14AC68E751CF}" name="Table3" displayName="Table3" ref="O11:AA16" totalsRowShown="0" headerRowDxfId="14" headerRowBorderDxfId="13">
  <autoFilter ref="O11:AA16" xr:uid="{4D90017A-9E91-0148-AE7B-14AC68E751CF}"/>
  <tableColumns count="13">
    <tableColumn id="1" xr3:uid="{6BAB5B15-8E4F-A047-9E57-531C1FCB55D1}" name="LJ" dataDxfId="12"/>
    <tableColumn id="2" xr3:uid="{3DCB2CD9-A10D-5941-A82E-CE02080955EF}" name="OVHD Thr (m)" dataDxfId="11"/>
    <tableColumn id="3" xr3:uid="{E1CF13B9-8232-A44A-A1B5-1764D32953AC}" name="CHST Thr (m)" dataDxfId="10"/>
    <tableColumn id="4" xr3:uid="{0131DBE6-3E06-434C-AF37-C945D4D1E83C}" name="OVHD SQT " dataDxfId="9"/>
    <tableColumn id="5" xr3:uid="{A0F96AD8-0AA6-A84E-8437-91AD1081896B}" name="Lunge MTRX" dataDxfId="8"/>
    <tableColumn id="6" xr3:uid="{AAF451BC-DE18-4248-82DE-335D0D937B9B}" name="Push up Hld H (s)" dataDxfId="7"/>
    <tableColumn id="7" xr3:uid="{B58DEAAF-F3C7-DC45-B914-FB065022AD87}" name="Push up Hld L (s)" dataDxfId="6"/>
    <tableColumn id="8" xr3:uid="{8B413C77-F968-6545-A886-CF40552E37C4}" name="Push up Reps" dataDxfId="5"/>
    <tableColumn id="9" xr3:uid="{F9CF9ABA-D609-684E-90C9-6D8227823522}" name="SQT (reps)" dataDxfId="4"/>
    <tableColumn id="10" xr3:uid="{F73F4EB2-3F81-704F-80B9-7EF817693292}" name="Wall Sit (s)" dataDxfId="3"/>
    <tableColumn id="11" xr3:uid="{431E183B-302D-F74B-858A-4709EF07E905}" name="Dead Hang (s)" dataDxfId="2"/>
    <tableColumn id="12" xr3:uid="{E579B7DA-1BBE-D449-AF64-E9624859719D}" name="ISO Hld R (s)" dataDxfId="1"/>
    <tableColumn id="13" xr3:uid="{1C820B09-BFD9-6D47-A185-A38D60361A0F}" name="ISO Hld L (s)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FA5B2-B170-4FAD-9CEB-44FD12576843}" name="Table15" displayName="Table15" ref="B1:K6" totalsRowShown="0" headerRowDxfId="42" headerRowBorderDxfId="41" tableBorderDxfId="40" totalsRowBorderDxfId="39">
  <autoFilter ref="B1:K6" xr:uid="{449FA5B2-B170-4FAD-9CEB-44FD12576843}"/>
  <tableColumns count="10">
    <tableColumn id="1" xr3:uid="{6A17D9D5-4E81-4D7A-BDD9-FA15300753E6}" name="100m" dataDxfId="38"/>
    <tableColumn id="2" xr3:uid="{6B5D478A-41C1-4386-85B0-CFA9EC425547}" name="200m" dataDxfId="37">
      <calculatedColumnFormula>MIN(C3:C64)</calculatedColumnFormula>
    </tableColumn>
    <tableColumn id="3" xr3:uid="{1AC9C4D1-C33F-4F53-B0EF-F935358EB300}" name="Vert (in)" dataDxfId="36"/>
    <tableColumn id="4" xr3:uid="{53E9131C-9268-4B59-A125-30BFA20651F8}" name="SL Hld R (s)" dataDxfId="35"/>
    <tableColumn id="14" xr3:uid="{E3178B4F-80F0-4C82-AEB0-055B7789F03F}" name="SL Hld L (s)" dataDxfId="34"/>
    <tableColumn id="5" xr3:uid="{A84B3191-1FE3-4EF2-A1EA-21B8419D3858}" name="SL Bound (s)" dataDxfId="33"/>
    <tableColumn id="6" xr3:uid="{A8BEB7E0-0B5B-495F-AF8B-7777689F0691}" name="Core (reps)" dataDxfId="32"/>
    <tableColumn id="7" xr3:uid="{7B45F9CD-E9E5-446B-B92E-1CDD0E3D6CA8}" name="Fly Zone (s)" dataDxfId="31"/>
    <tableColumn id="8" xr3:uid="{D12EBC90-397E-430E-B257-C74446B7FC30}" name="Sprint Mobility" dataDxfId="30"/>
    <tableColumn id="9" xr3:uid="{17CA17B2-39A2-4772-9939-BAB70C26EE90}" name="Agility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6DC3F-DC58-F845-A8B4-454E06223BAE}" name="Table2" displayName="Table2" ref="B5:H13" totalsRowShown="0" dataCellStyle="Calculation">
  <autoFilter ref="B5:H13" xr:uid="{FE46DC3F-DC58-F845-A8B4-454E06223BAE}"/>
  <tableColumns count="7">
    <tableColumn id="1" xr3:uid="{5080906C-B598-AA44-AC66-AEA74ED35B55}" name="100" dataCellStyle="Calculation"/>
    <tableColumn id="2" xr3:uid="{A7A7EB35-6B07-0E44-B89D-BAEAC32B7419}" name="150" dataCellStyle="Calculation"/>
    <tableColumn id="3" xr3:uid="{C130B2E0-FA27-9B4C-A04A-7582784C5D6B}" name="150 Float Fly" dataCellStyle="Calculation"/>
    <tableColumn id="4" xr3:uid="{40AAF8F7-BCB5-CB44-AAED-321818DFE742}" name="200 Float Fly" dataCellStyle="Calculation"/>
    <tableColumn id="7" xr3:uid="{A714338D-2218-7947-8310-2B5727529D6B}" name="200 Breakdowns" dataCellStyle="Calculation"/>
    <tableColumn id="5" xr3:uid="{F48C1684-B458-8940-98A2-9BBFF3A14C11}" name="200" dataCellStyle="Calculation"/>
    <tableColumn id="6" xr3:uid="{2C1C2D10-DC65-5846-9357-DC96B4BB1917}" name="300" dataCellStyle="Calc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9D32-BEF9-C440-94D0-F10EF9983CB6}">
  <dimension ref="B2:AA19"/>
  <sheetViews>
    <sheetView topLeftCell="I7" workbookViewId="0">
      <selection activeCell="N11" sqref="N11:AA15"/>
    </sheetView>
  </sheetViews>
  <sheetFormatPr defaultColWidth="10.6640625" defaultRowHeight="16" x14ac:dyDescent="0.4"/>
  <cols>
    <col min="2" max="2" width="14.6640625" customWidth="1"/>
    <col min="3" max="3" width="12.5" customWidth="1"/>
    <col min="6" max="6" width="13.6640625" customWidth="1"/>
    <col min="7" max="7" width="12.5" customWidth="1"/>
    <col min="10" max="10" width="13" customWidth="1"/>
    <col min="12" max="12" width="11" customWidth="1"/>
    <col min="16" max="16" width="15.1640625" customWidth="1"/>
    <col min="17" max="17" width="14.1640625" customWidth="1"/>
    <col min="18" max="18" width="13.1640625" customWidth="1"/>
    <col min="19" max="19" width="15" customWidth="1"/>
    <col min="20" max="20" width="18.33203125" customWidth="1"/>
    <col min="21" max="21" width="17.33203125" customWidth="1"/>
    <col min="22" max="22" width="14.5" customWidth="1"/>
    <col min="23" max="23" width="12" customWidth="1"/>
    <col min="24" max="24" width="13" customWidth="1"/>
    <col min="25" max="25" width="15.6640625" customWidth="1"/>
    <col min="26" max="26" width="15" customWidth="1"/>
    <col min="27" max="27" width="14.33203125" customWidth="1"/>
  </cols>
  <sheetData>
    <row r="2" spans="2:27" x14ac:dyDescent="0.4">
      <c r="B2" s="5" t="s">
        <v>0</v>
      </c>
      <c r="C2" s="5" t="s">
        <v>1</v>
      </c>
      <c r="D2" s="5" t="s">
        <v>2</v>
      </c>
      <c r="E2" s="5" t="s">
        <v>3</v>
      </c>
    </row>
    <row r="3" spans="2:27" x14ac:dyDescent="0.4">
      <c r="B3" s="6" t="s">
        <v>167</v>
      </c>
      <c r="C3" s="6">
        <v>5.1100000000000003</v>
      </c>
      <c r="D3" s="6"/>
      <c r="E3" s="6">
        <v>20</v>
      </c>
    </row>
    <row r="4" spans="2:27" x14ac:dyDescent="0.4">
      <c r="B4" s="7"/>
      <c r="C4" s="7" t="s">
        <v>11</v>
      </c>
      <c r="D4" s="7" t="s">
        <v>12</v>
      </c>
      <c r="E4" s="7"/>
    </row>
    <row r="5" spans="2:27" x14ac:dyDescent="0.4">
      <c r="B5" s="7">
        <v>100</v>
      </c>
      <c r="C5" s="7"/>
      <c r="D5" s="7"/>
      <c r="E5" s="7"/>
    </row>
    <row r="6" spans="2:27" x14ac:dyDescent="0.4">
      <c r="B6" s="7">
        <v>200</v>
      </c>
      <c r="C6" s="7"/>
      <c r="D6" s="7"/>
      <c r="E6" s="7"/>
    </row>
    <row r="7" spans="2:27" x14ac:dyDescent="0.4">
      <c r="B7" s="7">
        <v>400</v>
      </c>
      <c r="C7" s="7"/>
      <c r="D7" s="7" t="s">
        <v>13</v>
      </c>
      <c r="E7" s="7"/>
    </row>
    <row r="10" spans="2:27" ht="16.5" thickBot="1" x14ac:dyDescent="0.45"/>
    <row r="11" spans="2:27" ht="16.5" thickBot="1" x14ac:dyDescent="0.45">
      <c r="B11" t="s">
        <v>23</v>
      </c>
      <c r="C11" s="9" t="s">
        <v>4</v>
      </c>
      <c r="D11" s="10" t="s">
        <v>5</v>
      </c>
      <c r="E11" s="10" t="s">
        <v>131</v>
      </c>
      <c r="F11" s="10" t="s">
        <v>30</v>
      </c>
      <c r="G11" s="10" t="s">
        <v>31</v>
      </c>
      <c r="H11" s="10" t="s">
        <v>32</v>
      </c>
      <c r="I11" s="10" t="s">
        <v>33</v>
      </c>
      <c r="J11" s="10" t="s">
        <v>34</v>
      </c>
      <c r="K11" s="10" t="s">
        <v>6</v>
      </c>
      <c r="L11" s="11" t="s">
        <v>7</v>
      </c>
      <c r="N11" t="s">
        <v>22</v>
      </c>
      <c r="O11" s="19" t="s">
        <v>14</v>
      </c>
      <c r="P11" s="20" t="s">
        <v>19</v>
      </c>
      <c r="Q11" s="20" t="s">
        <v>20</v>
      </c>
      <c r="R11" s="20" t="s">
        <v>35</v>
      </c>
      <c r="S11" s="20" t="s">
        <v>16</v>
      </c>
      <c r="T11" s="20" t="s">
        <v>29</v>
      </c>
      <c r="U11" s="20" t="s">
        <v>28</v>
      </c>
      <c r="V11" s="20" t="s">
        <v>15</v>
      </c>
      <c r="W11" s="20" t="s">
        <v>21</v>
      </c>
      <c r="X11" s="20" t="s">
        <v>27</v>
      </c>
      <c r="Y11" s="20" t="s">
        <v>24</v>
      </c>
      <c r="Z11" s="20" t="s">
        <v>25</v>
      </c>
      <c r="AA11" s="21" t="s">
        <v>26</v>
      </c>
    </row>
    <row r="12" spans="2:27" x14ac:dyDescent="0.4">
      <c r="B12" t="s">
        <v>10</v>
      </c>
      <c r="C12" s="12">
        <f t="shared" ref="C12:K12" si="0">MIN(C15:C76)</f>
        <v>13.14</v>
      </c>
      <c r="D12" s="12">
        <f t="shared" si="0"/>
        <v>0</v>
      </c>
      <c r="E12" s="8">
        <f t="shared" si="0"/>
        <v>33.74</v>
      </c>
      <c r="F12" s="8">
        <f t="shared" si="0"/>
        <v>48.3</v>
      </c>
      <c r="G12" s="8">
        <f t="shared" si="0"/>
        <v>66.650000000000006</v>
      </c>
      <c r="H12" s="8">
        <f t="shared" si="0"/>
        <v>5</v>
      </c>
      <c r="I12" s="8">
        <f t="shared" si="0"/>
        <v>30</v>
      </c>
      <c r="J12" s="8">
        <f t="shared" si="0"/>
        <v>2.5</v>
      </c>
      <c r="K12" s="8">
        <f t="shared" si="0"/>
        <v>1.3</v>
      </c>
      <c r="L12" s="13"/>
      <c r="N12" t="s">
        <v>17</v>
      </c>
      <c r="O12" s="12">
        <f t="shared" ref="O12:AA12" si="1">MIN(O15:O76)</f>
        <v>0</v>
      </c>
      <c r="P12" s="12">
        <f t="shared" si="1"/>
        <v>0.9</v>
      </c>
      <c r="Q12" s="12">
        <f t="shared" si="1"/>
        <v>3.1</v>
      </c>
      <c r="R12" s="12">
        <f t="shared" si="1"/>
        <v>0</v>
      </c>
      <c r="S12" s="12">
        <f t="shared" si="1"/>
        <v>0</v>
      </c>
      <c r="T12" s="12">
        <f t="shared" si="1"/>
        <v>65.599999999999994</v>
      </c>
      <c r="U12" s="12">
        <f t="shared" si="1"/>
        <v>31.65</v>
      </c>
      <c r="V12" s="12">
        <f t="shared" si="1"/>
        <v>0</v>
      </c>
      <c r="W12" s="12">
        <f t="shared" si="1"/>
        <v>0</v>
      </c>
      <c r="X12" s="12">
        <f t="shared" si="1"/>
        <v>46.71</v>
      </c>
      <c r="Y12" s="12">
        <f t="shared" si="1"/>
        <v>33.83</v>
      </c>
      <c r="Z12" s="12">
        <f t="shared" si="1"/>
        <v>28</v>
      </c>
      <c r="AA12" s="12">
        <f t="shared" si="1"/>
        <v>28</v>
      </c>
    </row>
    <row r="13" spans="2:27" x14ac:dyDescent="0.4">
      <c r="B13" t="s">
        <v>8</v>
      </c>
      <c r="C13" s="14">
        <f t="shared" ref="C13:K13" si="2">MAX(C15:C96)</f>
        <v>13.55</v>
      </c>
      <c r="D13" s="14">
        <f t="shared" si="2"/>
        <v>27.39</v>
      </c>
      <c r="E13" s="7">
        <f t="shared" si="2"/>
        <v>41.65</v>
      </c>
      <c r="F13" s="7">
        <f t="shared" si="2"/>
        <v>48.3</v>
      </c>
      <c r="G13" s="7">
        <f t="shared" si="2"/>
        <v>66.650000000000006</v>
      </c>
      <c r="H13" s="7">
        <f t="shared" si="2"/>
        <v>5</v>
      </c>
      <c r="I13" s="7">
        <f t="shared" si="2"/>
        <v>32</v>
      </c>
      <c r="J13" s="7">
        <f t="shared" si="2"/>
        <v>2.5</v>
      </c>
      <c r="K13" s="7">
        <f t="shared" si="2"/>
        <v>1.3</v>
      </c>
      <c r="L13" s="15"/>
      <c r="N13" t="s">
        <v>18</v>
      </c>
      <c r="O13" s="14">
        <f t="shared" ref="O13:AA13" si="3">MAX(O15:O96)</f>
        <v>0</v>
      </c>
      <c r="P13" s="14">
        <f t="shared" si="3"/>
        <v>0.9</v>
      </c>
      <c r="Q13" s="14">
        <f t="shared" si="3"/>
        <v>3.1</v>
      </c>
      <c r="R13" s="14">
        <f t="shared" si="3"/>
        <v>0</v>
      </c>
      <c r="S13" s="14">
        <f t="shared" si="3"/>
        <v>0</v>
      </c>
      <c r="T13" s="14">
        <f t="shared" si="3"/>
        <v>65.599999999999994</v>
      </c>
      <c r="U13" s="14">
        <f t="shared" si="3"/>
        <v>31.65</v>
      </c>
      <c r="V13" s="14">
        <f t="shared" si="3"/>
        <v>0</v>
      </c>
      <c r="W13" s="14">
        <f t="shared" si="3"/>
        <v>0</v>
      </c>
      <c r="X13" s="14">
        <f t="shared" si="3"/>
        <v>46.71</v>
      </c>
      <c r="Y13" s="14">
        <f t="shared" si="3"/>
        <v>33.83</v>
      </c>
      <c r="Z13" s="14">
        <f t="shared" si="3"/>
        <v>28</v>
      </c>
      <c r="AA13" s="14">
        <f t="shared" si="3"/>
        <v>28</v>
      </c>
    </row>
    <row r="14" spans="2:27" ht="16.5" thickBot="1" x14ac:dyDescent="0.45">
      <c r="B14" t="s">
        <v>9</v>
      </c>
      <c r="C14" s="16">
        <f t="shared" ref="C14:K14" si="4">INDEX(C15:C121, MATCH(MAX(C15:C121), C15:C121, 0))</f>
        <v>13.55</v>
      </c>
      <c r="D14" s="16">
        <f t="shared" si="4"/>
        <v>27.39</v>
      </c>
      <c r="E14" s="17">
        <f t="shared" si="4"/>
        <v>41.65</v>
      </c>
      <c r="F14" s="17">
        <f t="shared" si="4"/>
        <v>48.3</v>
      </c>
      <c r="G14" s="17">
        <f t="shared" si="4"/>
        <v>66.650000000000006</v>
      </c>
      <c r="H14" s="17">
        <f t="shared" si="4"/>
        <v>5</v>
      </c>
      <c r="I14" s="17">
        <f t="shared" si="4"/>
        <v>32</v>
      </c>
      <c r="J14" s="17">
        <f t="shared" si="4"/>
        <v>2.5</v>
      </c>
      <c r="K14" s="17">
        <f t="shared" si="4"/>
        <v>1.3</v>
      </c>
      <c r="L14" s="18"/>
      <c r="N14" t="s">
        <v>9</v>
      </c>
      <c r="O14" s="16" t="e">
        <f t="shared" ref="O14:AA14" si="5">INDEX(O15:O121, MATCH(MAX(O15:O121), O15:O121, 0))</f>
        <v>#N/A</v>
      </c>
      <c r="P14" s="16">
        <f t="shared" si="5"/>
        <v>0.9</v>
      </c>
      <c r="Q14" s="16">
        <f t="shared" si="5"/>
        <v>3.1</v>
      </c>
      <c r="R14" s="16" t="e">
        <f t="shared" si="5"/>
        <v>#N/A</v>
      </c>
      <c r="S14" s="16" t="e">
        <f t="shared" si="5"/>
        <v>#N/A</v>
      </c>
      <c r="T14" s="16">
        <f t="shared" si="5"/>
        <v>65.599999999999994</v>
      </c>
      <c r="U14" s="16">
        <f t="shared" si="5"/>
        <v>31.65</v>
      </c>
      <c r="V14" s="16" t="e">
        <f t="shared" si="5"/>
        <v>#N/A</v>
      </c>
      <c r="W14" s="16" t="e">
        <f t="shared" si="5"/>
        <v>#N/A</v>
      </c>
      <c r="X14" s="16">
        <f t="shared" si="5"/>
        <v>46.71</v>
      </c>
      <c r="Y14" s="16">
        <f t="shared" si="5"/>
        <v>33.83</v>
      </c>
      <c r="Z14" s="16">
        <f t="shared" si="5"/>
        <v>28</v>
      </c>
      <c r="AA14" s="16">
        <f t="shared" si="5"/>
        <v>28</v>
      </c>
    </row>
    <row r="15" spans="2:27" x14ac:dyDescent="0.4">
      <c r="B15" s="1">
        <v>45853</v>
      </c>
      <c r="C15" s="2">
        <v>13.55</v>
      </c>
      <c r="D15" s="2">
        <v>27.39</v>
      </c>
      <c r="E15" s="2">
        <v>35.75</v>
      </c>
      <c r="F15" s="2"/>
      <c r="G15" s="2"/>
      <c r="H15" s="2">
        <v>5</v>
      </c>
      <c r="I15" s="2">
        <v>30</v>
      </c>
      <c r="J15" s="2">
        <v>2.5</v>
      </c>
      <c r="K15" s="2">
        <v>1.3</v>
      </c>
      <c r="L15" s="3"/>
      <c r="N15" s="1">
        <v>45867</v>
      </c>
      <c r="O15" s="2"/>
      <c r="P15" s="2">
        <v>0.9</v>
      </c>
      <c r="Q15" s="2">
        <v>3.1</v>
      </c>
      <c r="R15" s="2"/>
      <c r="S15" s="2"/>
      <c r="T15" s="2">
        <v>65.599999999999994</v>
      </c>
      <c r="U15" s="2">
        <v>31.65</v>
      </c>
      <c r="V15" s="2"/>
      <c r="W15" s="2"/>
      <c r="X15" s="2">
        <v>46.71</v>
      </c>
      <c r="Y15" s="2">
        <v>33.83</v>
      </c>
      <c r="Z15" s="2">
        <v>28</v>
      </c>
      <c r="AA15" s="2">
        <v>28</v>
      </c>
    </row>
    <row r="16" spans="2:27" x14ac:dyDescent="0.4">
      <c r="C16" s="45"/>
      <c r="D16" s="45"/>
      <c r="E16" s="45">
        <v>35.08</v>
      </c>
      <c r="F16" s="45"/>
      <c r="G16" s="45"/>
      <c r="H16" s="45"/>
      <c r="I16" s="45"/>
      <c r="J16" s="45"/>
      <c r="K16" s="45"/>
      <c r="L16" s="23"/>
      <c r="N16" s="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12" x14ac:dyDescent="0.4">
      <c r="C17" s="45"/>
      <c r="D17" s="45"/>
      <c r="E17" s="45">
        <v>33.74</v>
      </c>
      <c r="F17" s="45"/>
      <c r="G17" s="46"/>
      <c r="H17" s="45"/>
      <c r="I17" s="45"/>
      <c r="J17" s="45"/>
      <c r="K17" s="45"/>
      <c r="L17" s="23"/>
    </row>
    <row r="18" spans="2:12" x14ac:dyDescent="0.4">
      <c r="B18" s="1">
        <v>45866</v>
      </c>
      <c r="C18" s="45">
        <v>13.14</v>
      </c>
      <c r="D18" s="45">
        <v>25.9</v>
      </c>
      <c r="E18" s="45">
        <v>36.26</v>
      </c>
      <c r="F18" s="45">
        <v>48.3</v>
      </c>
      <c r="G18" s="47">
        <v>66.650000000000006</v>
      </c>
      <c r="H18" s="45"/>
      <c r="I18" s="45">
        <v>32</v>
      </c>
      <c r="J18" s="45"/>
      <c r="K18" s="45"/>
      <c r="L18" s="23"/>
    </row>
    <row r="19" spans="2:12" x14ac:dyDescent="0.4">
      <c r="C19" s="45"/>
      <c r="D19" s="45">
        <f>MIN(D22:D83)</f>
        <v>0</v>
      </c>
      <c r="E19" s="45">
        <v>41.65</v>
      </c>
      <c r="F19" s="45"/>
      <c r="G19" s="45"/>
      <c r="H19" s="45"/>
      <c r="I19" s="45"/>
      <c r="J19" s="45"/>
      <c r="K19" s="45"/>
      <c r="L19" s="23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9C97-5311-3C42-8DB1-07F1263D4D29}">
  <dimension ref="A3:AA10"/>
  <sheetViews>
    <sheetView workbookViewId="0">
      <selection activeCell="C15" sqref="C15"/>
    </sheetView>
  </sheetViews>
  <sheetFormatPr defaultColWidth="10.6640625" defaultRowHeight="16" x14ac:dyDescent="0.4"/>
  <sheetData>
    <row r="3" spans="1:27" x14ac:dyDescent="0.4">
      <c r="A3" s="65" t="s">
        <v>168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x14ac:dyDescent="0.4">
      <c r="A4" s="65" t="s">
        <v>169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x14ac:dyDescent="0.4">
      <c r="A5" s="65" t="s">
        <v>170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x14ac:dyDescent="0.4">
      <c r="A6" s="66" t="s">
        <v>171</v>
      </c>
      <c r="B6" s="66"/>
      <c r="C6" s="50"/>
      <c r="D6" s="67" t="s">
        <v>172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 x14ac:dyDescent="0.4">
      <c r="A7" s="53" t="s">
        <v>173</v>
      </c>
      <c r="B7" s="53"/>
      <c r="C7" s="51"/>
      <c r="D7" s="63" t="s">
        <v>174</v>
      </c>
      <c r="E7" s="63"/>
      <c r="F7" s="63"/>
      <c r="G7" s="63"/>
      <c r="H7" s="63"/>
      <c r="I7" s="63"/>
      <c r="J7" s="63"/>
      <c r="K7" s="63"/>
      <c r="L7" s="64" t="s">
        <v>175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 t="s">
        <v>176</v>
      </c>
      <c r="Y7" s="64"/>
      <c r="Z7" s="64"/>
      <c r="AA7" s="64"/>
    </row>
    <row r="8" spans="1:27" x14ac:dyDescent="0.4">
      <c r="A8" s="53" t="s">
        <v>177</v>
      </c>
      <c r="B8" s="53"/>
      <c r="C8" s="51"/>
      <c r="D8" s="59" t="s">
        <v>178</v>
      </c>
      <c r="E8" s="59"/>
      <c r="F8" s="59"/>
      <c r="G8" s="59"/>
      <c r="H8" s="59"/>
      <c r="I8" s="59"/>
      <c r="J8" s="60" t="s">
        <v>179</v>
      </c>
      <c r="K8" s="60"/>
      <c r="L8" s="60"/>
      <c r="M8" s="60"/>
      <c r="N8" s="60"/>
      <c r="O8" s="60"/>
      <c r="P8" s="61" t="s">
        <v>180</v>
      </c>
      <c r="Q8" s="61"/>
      <c r="R8" s="61"/>
      <c r="S8" s="61"/>
      <c r="T8" s="61"/>
      <c r="U8" s="61"/>
      <c r="V8" s="62" t="s">
        <v>181</v>
      </c>
      <c r="W8" s="62"/>
      <c r="X8" s="62"/>
      <c r="Y8" s="62"/>
      <c r="Z8" s="58" t="s">
        <v>182</v>
      </c>
      <c r="AA8" s="58"/>
    </row>
    <row r="9" spans="1:27" x14ac:dyDescent="0.4">
      <c r="A9" s="53" t="s">
        <v>183</v>
      </c>
      <c r="B9" s="53"/>
      <c r="C9" s="51"/>
      <c r="D9" s="54" t="s">
        <v>184</v>
      </c>
      <c r="E9" s="54"/>
      <c r="F9" s="54"/>
      <c r="G9" s="54"/>
      <c r="H9" s="54"/>
      <c r="I9" s="54"/>
      <c r="J9" s="55" t="s">
        <v>185</v>
      </c>
      <c r="K9" s="55"/>
      <c r="L9" s="55"/>
      <c r="M9" s="55"/>
      <c r="N9" s="55"/>
      <c r="O9" s="55"/>
      <c r="P9" s="56" t="s">
        <v>186</v>
      </c>
      <c r="Q9" s="56"/>
      <c r="R9" s="56"/>
      <c r="S9" s="56"/>
      <c r="T9" s="56"/>
      <c r="U9" s="56"/>
      <c r="V9" s="57" t="s">
        <v>187</v>
      </c>
      <c r="W9" s="57"/>
      <c r="X9" s="57"/>
      <c r="Y9" s="57"/>
      <c r="Z9" s="58" t="s">
        <v>188</v>
      </c>
      <c r="AA9" s="58"/>
    </row>
    <row r="10" spans="1:27" x14ac:dyDescent="0.4">
      <c r="A10" s="53" t="s">
        <v>189</v>
      </c>
      <c r="B10" s="53"/>
      <c r="C10" s="51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4">
        <v>6</v>
      </c>
      <c r="J10" s="4">
        <v>7</v>
      </c>
      <c r="K10" s="4">
        <v>8</v>
      </c>
      <c r="L10" s="4">
        <v>9</v>
      </c>
      <c r="M10" s="4">
        <v>10</v>
      </c>
      <c r="N10" s="4">
        <v>11</v>
      </c>
      <c r="O10" s="4">
        <v>12</v>
      </c>
      <c r="P10" s="4">
        <v>13</v>
      </c>
      <c r="Q10" s="4">
        <v>14</v>
      </c>
      <c r="R10" s="4">
        <v>15</v>
      </c>
      <c r="S10" s="4">
        <v>16</v>
      </c>
      <c r="T10" s="4">
        <v>17</v>
      </c>
      <c r="U10" s="4">
        <v>18</v>
      </c>
      <c r="V10" s="4">
        <v>19</v>
      </c>
      <c r="W10" s="4">
        <v>20</v>
      </c>
      <c r="X10" s="4">
        <v>21</v>
      </c>
      <c r="Y10" s="4">
        <v>22</v>
      </c>
      <c r="Z10" s="52">
        <v>23</v>
      </c>
      <c r="AA10" s="52">
        <v>24</v>
      </c>
    </row>
  </sheetData>
  <mergeCells count="22">
    <mergeCell ref="A7:B7"/>
    <mergeCell ref="D7:K7"/>
    <mergeCell ref="L7:W7"/>
    <mergeCell ref="X7:AA7"/>
    <mergeCell ref="A3:AA3"/>
    <mergeCell ref="A4:AA4"/>
    <mergeCell ref="A5:AA5"/>
    <mergeCell ref="A6:B6"/>
    <mergeCell ref="D6:AA6"/>
    <mergeCell ref="V9:Y9"/>
    <mergeCell ref="Z9:AA9"/>
    <mergeCell ref="A8:B8"/>
    <mergeCell ref="D8:I8"/>
    <mergeCell ref="J8:O8"/>
    <mergeCell ref="P8:U8"/>
    <mergeCell ref="V8:Y8"/>
    <mergeCell ref="Z8:AA8"/>
    <mergeCell ref="A10:B10"/>
    <mergeCell ref="A9:B9"/>
    <mergeCell ref="D9:I9"/>
    <mergeCell ref="J9:O9"/>
    <mergeCell ref="P9:U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A314-3C72-AD46-BF07-DD4F7822E918}">
  <dimension ref="A1"/>
  <sheetViews>
    <sheetView topLeftCell="A12" workbookViewId="0"/>
  </sheetViews>
  <sheetFormatPr defaultColWidth="10.6640625" defaultRowHeight="16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7728-0DA8-4DB6-8B90-4BEC394004FC}">
  <dimension ref="A1:K6"/>
  <sheetViews>
    <sheetView workbookViewId="0">
      <selection activeCell="A2" sqref="A2"/>
    </sheetView>
  </sheetViews>
  <sheetFormatPr defaultRowHeight="16" x14ac:dyDescent="0.4"/>
  <cols>
    <col min="1" max="1" width="10.08203125" bestFit="1" customWidth="1"/>
  </cols>
  <sheetData>
    <row r="1" spans="1:11" ht="31" customHeight="1" thickBot="1" x14ac:dyDescent="0.45">
      <c r="A1" t="s">
        <v>196</v>
      </c>
      <c r="B1" s="9" t="s">
        <v>4</v>
      </c>
      <c r="C1" s="10" t="s">
        <v>5</v>
      </c>
      <c r="D1" s="10" t="s">
        <v>131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6</v>
      </c>
      <c r="K1" s="11" t="s">
        <v>7</v>
      </c>
    </row>
    <row r="2" spans="1:11" x14ac:dyDescent="0.4">
      <c r="A2" s="1">
        <v>45853</v>
      </c>
      <c r="B2" s="2">
        <v>13.55</v>
      </c>
      <c r="C2" s="2">
        <v>27.39</v>
      </c>
      <c r="D2" s="2">
        <v>35.75</v>
      </c>
      <c r="E2" s="2"/>
      <c r="F2" s="2"/>
      <c r="G2" s="2">
        <v>5</v>
      </c>
      <c r="H2" s="2">
        <v>30</v>
      </c>
      <c r="I2" s="2">
        <v>2.5</v>
      </c>
      <c r="J2" s="2">
        <v>1.3</v>
      </c>
      <c r="K2" s="3"/>
    </row>
    <row r="3" spans="1:11" x14ac:dyDescent="0.4">
      <c r="B3" s="45"/>
      <c r="C3" s="45"/>
      <c r="D3" s="45">
        <v>35.08</v>
      </c>
      <c r="E3" s="45"/>
      <c r="F3" s="45"/>
      <c r="G3" s="45"/>
      <c r="H3" s="45"/>
      <c r="I3" s="45"/>
      <c r="J3" s="45"/>
      <c r="K3" s="23"/>
    </row>
    <row r="4" spans="1:11" x14ac:dyDescent="0.4">
      <c r="B4" s="45"/>
      <c r="C4" s="45"/>
      <c r="D4" s="45">
        <v>33.74</v>
      </c>
      <c r="E4" s="45"/>
      <c r="F4" s="46"/>
      <c r="G4" s="45"/>
      <c r="H4" s="45"/>
      <c r="I4" s="45"/>
      <c r="J4" s="45"/>
      <c r="K4" s="23"/>
    </row>
    <row r="5" spans="1:11" x14ac:dyDescent="0.4">
      <c r="A5" s="1">
        <v>45866</v>
      </c>
      <c r="B5" s="45">
        <v>13.14</v>
      </c>
      <c r="C5" s="45">
        <v>25.9</v>
      </c>
      <c r="D5" s="45">
        <v>36.26</v>
      </c>
      <c r="E5" s="45">
        <v>48.3</v>
      </c>
      <c r="F5" s="47"/>
      <c r="G5" s="45"/>
      <c r="H5" s="45">
        <v>32</v>
      </c>
      <c r="I5" s="45"/>
      <c r="J5" s="45"/>
      <c r="K5" s="23"/>
    </row>
    <row r="6" spans="1:11" x14ac:dyDescent="0.4">
      <c r="B6" s="45"/>
      <c r="C6" s="45">
        <f>MIN(C9:C70)</f>
        <v>0</v>
      </c>
      <c r="D6" s="45">
        <v>41.65</v>
      </c>
      <c r="E6" s="45"/>
      <c r="F6" s="45"/>
      <c r="G6" s="45"/>
      <c r="H6" s="45"/>
      <c r="I6" s="45"/>
      <c r="J6" s="45"/>
      <c r="K6" s="2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C36A-1358-43BC-9F8F-282C94B43330}">
  <dimension ref="A1:N2"/>
  <sheetViews>
    <sheetView workbookViewId="0"/>
  </sheetViews>
  <sheetFormatPr defaultRowHeight="16" x14ac:dyDescent="0.4"/>
  <cols>
    <col min="1" max="1" width="10.08203125" bestFit="1" customWidth="1"/>
  </cols>
  <sheetData>
    <row r="1" spans="1:14" ht="16.5" thickBot="1" x14ac:dyDescent="0.45">
      <c r="A1" t="s">
        <v>196</v>
      </c>
      <c r="B1" s="19" t="s">
        <v>14</v>
      </c>
      <c r="C1" s="20" t="s">
        <v>19</v>
      </c>
      <c r="D1" s="20" t="s">
        <v>20</v>
      </c>
      <c r="E1" s="20" t="s">
        <v>35</v>
      </c>
      <c r="F1" s="20" t="s">
        <v>16</v>
      </c>
      <c r="G1" s="20" t="s">
        <v>29</v>
      </c>
      <c r="H1" s="20" t="s">
        <v>28</v>
      </c>
      <c r="I1" s="20" t="s">
        <v>15</v>
      </c>
      <c r="J1" s="20" t="s">
        <v>21</v>
      </c>
      <c r="K1" s="20" t="s">
        <v>27</v>
      </c>
      <c r="L1" s="20" t="s">
        <v>24</v>
      </c>
      <c r="M1" s="20" t="s">
        <v>25</v>
      </c>
      <c r="N1" s="21" t="s">
        <v>26</v>
      </c>
    </row>
    <row r="2" spans="1:14" x14ac:dyDescent="0.4">
      <c r="A2" s="1">
        <v>45867</v>
      </c>
      <c r="B2" s="2"/>
      <c r="C2" s="2">
        <v>0.9</v>
      </c>
      <c r="D2" s="2">
        <v>3.1</v>
      </c>
      <c r="E2" s="2"/>
      <c r="F2" s="2"/>
      <c r="G2" s="2">
        <v>65.599999999999994</v>
      </c>
      <c r="H2" s="2">
        <v>31.65</v>
      </c>
      <c r="I2" s="2"/>
      <c r="J2" s="2"/>
      <c r="K2" s="2">
        <v>46.71</v>
      </c>
      <c r="L2" s="2">
        <v>33.83</v>
      </c>
      <c r="M2" s="2">
        <v>28</v>
      </c>
      <c r="N2" s="2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88E0-781E-A24D-BEDF-6D3FAD27CDD6}">
  <dimension ref="B3:AC27"/>
  <sheetViews>
    <sheetView topLeftCell="A4" workbookViewId="0">
      <selection activeCell="AA12" sqref="AA12:AC18"/>
    </sheetView>
  </sheetViews>
  <sheetFormatPr defaultColWidth="10.6640625" defaultRowHeight="16" x14ac:dyDescent="0.4"/>
  <cols>
    <col min="2" max="2" width="5.6640625" bestFit="1" customWidth="1"/>
    <col min="3" max="3" width="6.6640625" bestFit="1" customWidth="1"/>
    <col min="4" max="6" width="13.6640625" customWidth="1"/>
    <col min="7" max="7" width="16" customWidth="1"/>
    <col min="8" max="8" width="6.6640625" bestFit="1" customWidth="1"/>
    <col min="9" max="9" width="2" customWidth="1"/>
    <col min="12" max="13" width="12.1640625" bestFit="1" customWidth="1"/>
    <col min="14" max="14" width="12.1640625" customWidth="1"/>
    <col min="15" max="15" width="13.5" bestFit="1" customWidth="1"/>
    <col min="17" max="18" width="1.33203125" customWidth="1"/>
    <col min="19" max="19" width="14.33203125" bestFit="1" customWidth="1"/>
    <col min="20" max="20" width="5.83203125" bestFit="1" customWidth="1"/>
    <col min="21" max="21" width="41.33203125" bestFit="1" customWidth="1"/>
    <col min="22" max="22" width="1.1640625" customWidth="1"/>
    <col min="23" max="23" width="18.5" bestFit="1" customWidth="1"/>
    <col min="24" max="24" width="5.83203125" bestFit="1" customWidth="1"/>
    <col min="25" max="25" width="41.83203125" bestFit="1" customWidth="1"/>
    <col min="26" max="26" width="1.33203125" customWidth="1"/>
    <col min="27" max="28" width="10.83203125" customWidth="1"/>
    <col min="29" max="29" width="47.83203125" bestFit="1" customWidth="1"/>
  </cols>
  <sheetData>
    <row r="3" spans="2:29" ht="16.5" thickBot="1" x14ac:dyDescent="0.45"/>
    <row r="4" spans="2:29" ht="16.5" thickBot="1" x14ac:dyDescent="0.45">
      <c r="D4" s="76" t="s">
        <v>36</v>
      </c>
      <c r="E4" s="77"/>
      <c r="F4" s="44"/>
      <c r="L4" s="76" t="s">
        <v>37</v>
      </c>
      <c r="M4" s="77"/>
      <c r="N4" s="44"/>
      <c r="S4" s="68" t="s">
        <v>49</v>
      </c>
      <c r="T4" s="69"/>
      <c r="U4" s="69"/>
      <c r="V4" s="70"/>
      <c r="W4" s="69"/>
      <c r="X4" s="69"/>
      <c r="Y4" s="69"/>
      <c r="Z4" s="70"/>
      <c r="AA4" s="69"/>
      <c r="AB4" s="69"/>
      <c r="AC4" s="71"/>
    </row>
    <row r="5" spans="2:29" x14ac:dyDescent="0.4">
      <c r="B5" t="s">
        <v>133</v>
      </c>
      <c r="C5" t="s">
        <v>66</v>
      </c>
      <c r="D5" t="s">
        <v>38</v>
      </c>
      <c r="E5" t="s">
        <v>39</v>
      </c>
      <c r="F5" t="s">
        <v>134</v>
      </c>
      <c r="G5" t="s">
        <v>132</v>
      </c>
      <c r="H5" t="s">
        <v>67</v>
      </c>
      <c r="J5" s="27" t="s">
        <v>133</v>
      </c>
      <c r="K5" s="28" t="s">
        <v>66</v>
      </c>
      <c r="L5" s="28" t="s">
        <v>38</v>
      </c>
      <c r="M5" s="28" t="s">
        <v>39</v>
      </c>
      <c r="N5" s="28" t="s">
        <v>134</v>
      </c>
      <c r="O5" s="28" t="s">
        <v>132</v>
      </c>
      <c r="P5" s="29" t="s">
        <v>67</v>
      </c>
      <c r="S5" t="s">
        <v>140</v>
      </c>
      <c r="T5" s="49"/>
      <c r="U5" t="s">
        <v>146</v>
      </c>
      <c r="V5" s="72"/>
      <c r="W5" t="s">
        <v>147</v>
      </c>
      <c r="X5" s="49"/>
      <c r="Y5" t="s">
        <v>65</v>
      </c>
      <c r="Z5" s="72"/>
      <c r="AA5" t="s">
        <v>148</v>
      </c>
      <c r="AB5" s="49"/>
      <c r="AC5" t="s">
        <v>65</v>
      </c>
    </row>
    <row r="6" spans="2:29" x14ac:dyDescent="0.4">
      <c r="B6" s="24">
        <v>14.22</v>
      </c>
      <c r="C6" s="24">
        <v>22.2</v>
      </c>
      <c r="D6" s="24">
        <v>20.27</v>
      </c>
      <c r="E6" s="24">
        <v>35</v>
      </c>
      <c r="F6" s="24">
        <v>31.3</v>
      </c>
      <c r="G6" s="24">
        <v>32</v>
      </c>
      <c r="H6" s="24">
        <v>55.69</v>
      </c>
      <c r="J6" s="24">
        <f>'[1]Week Result'!$AL$19</f>
        <v>4.9226441631504872E-2</v>
      </c>
      <c r="K6" s="24">
        <f>'[1]Week Result'!$AL$39</f>
        <v>9.521460286137147E-2</v>
      </c>
      <c r="L6" s="24"/>
      <c r="M6" s="24">
        <f>'[1]Week Result'!$AF$24</f>
        <v>0</v>
      </c>
      <c r="N6" s="24">
        <f>'[1]Week Result'!$AS$32</f>
        <v>2.4214659685863942E-2</v>
      </c>
      <c r="O6" s="24">
        <f>'[1]Week Result'!$AF$39</f>
        <v>0</v>
      </c>
      <c r="P6" s="24">
        <f>'[1]Week Result'!$AF$19</f>
        <v>0.14919521254642998</v>
      </c>
      <c r="S6" s="26" t="s">
        <v>42</v>
      </c>
      <c r="T6" s="26" t="s">
        <v>43</v>
      </c>
      <c r="U6" s="26" t="s">
        <v>44</v>
      </c>
      <c r="V6" s="73"/>
      <c r="W6" s="26" t="s">
        <v>42</v>
      </c>
      <c r="X6" s="26" t="s">
        <v>43</v>
      </c>
      <c r="Y6" s="26" t="s">
        <v>44</v>
      </c>
      <c r="Z6" s="73"/>
      <c r="AA6" s="26" t="s">
        <v>42</v>
      </c>
      <c r="AB6" s="26" t="s">
        <v>43</v>
      </c>
      <c r="AC6" s="26" t="s">
        <v>44</v>
      </c>
    </row>
    <row r="7" spans="2:29" x14ac:dyDescent="0.4">
      <c r="B7" s="24">
        <v>14.92</v>
      </c>
      <c r="C7" s="24"/>
      <c r="D7" s="24"/>
      <c r="E7" s="24">
        <v>35</v>
      </c>
      <c r="F7" s="24">
        <v>30.56</v>
      </c>
      <c r="G7" s="24"/>
      <c r="H7" s="24">
        <v>48.46</v>
      </c>
      <c r="J7" s="24"/>
      <c r="K7" s="24"/>
      <c r="L7" s="24"/>
      <c r="M7" s="24"/>
      <c r="N7" s="24"/>
      <c r="O7" s="24"/>
      <c r="P7" s="24"/>
      <c r="S7" s="26" t="s">
        <v>45</v>
      </c>
      <c r="T7">
        <v>4</v>
      </c>
      <c r="U7" t="s">
        <v>135</v>
      </c>
      <c r="V7" s="74"/>
      <c r="W7" s="26" t="s">
        <v>45</v>
      </c>
      <c r="X7">
        <v>3</v>
      </c>
      <c r="Y7" t="s">
        <v>141</v>
      </c>
      <c r="Z7" s="74"/>
      <c r="AA7" s="26" t="s">
        <v>45</v>
      </c>
      <c r="AB7">
        <v>3</v>
      </c>
      <c r="AC7" t="s">
        <v>149</v>
      </c>
    </row>
    <row r="8" spans="2:29" x14ac:dyDescent="0.4">
      <c r="B8" s="24"/>
      <c r="C8" s="24"/>
      <c r="D8" s="24"/>
      <c r="E8" s="24">
        <v>32</v>
      </c>
      <c r="F8" s="24">
        <v>33.5</v>
      </c>
      <c r="G8" s="24"/>
      <c r="H8" s="24"/>
      <c r="S8" s="26" t="s">
        <v>46</v>
      </c>
      <c r="T8">
        <v>3.5</v>
      </c>
      <c r="U8" t="s">
        <v>136</v>
      </c>
      <c r="V8" s="74"/>
      <c r="W8" s="26" t="s">
        <v>46</v>
      </c>
      <c r="X8">
        <v>3.5</v>
      </c>
      <c r="Y8" t="s">
        <v>142</v>
      </c>
      <c r="Z8" s="74"/>
      <c r="AA8" s="26" t="s">
        <v>46</v>
      </c>
      <c r="AB8">
        <v>3.5</v>
      </c>
      <c r="AC8" t="s">
        <v>150</v>
      </c>
    </row>
    <row r="9" spans="2:29" x14ac:dyDescent="0.4">
      <c r="B9" s="24"/>
      <c r="C9" s="24"/>
      <c r="D9" s="24"/>
      <c r="E9" s="24"/>
      <c r="F9" s="24"/>
      <c r="G9" s="24"/>
      <c r="H9" s="24"/>
      <c r="S9" s="26" t="s">
        <v>47</v>
      </c>
      <c r="T9">
        <v>3.5</v>
      </c>
      <c r="U9" t="s">
        <v>137</v>
      </c>
      <c r="V9" s="74"/>
      <c r="W9" s="26" t="s">
        <v>47</v>
      </c>
      <c r="X9">
        <v>3.5</v>
      </c>
      <c r="Y9" t="s">
        <v>143</v>
      </c>
      <c r="Z9" s="74"/>
      <c r="AA9" s="26" t="s">
        <v>47</v>
      </c>
      <c r="AB9">
        <v>3.5</v>
      </c>
      <c r="AC9" t="s">
        <v>151</v>
      </c>
    </row>
    <row r="10" spans="2:29" x14ac:dyDescent="0.4">
      <c r="B10" s="24"/>
      <c r="C10" s="24"/>
      <c r="D10" s="24"/>
      <c r="E10" s="24"/>
      <c r="F10" s="24"/>
      <c r="G10" s="24"/>
      <c r="H10" s="24"/>
      <c r="S10" s="26" t="s">
        <v>48</v>
      </c>
      <c r="T10">
        <v>4</v>
      </c>
      <c r="U10" t="s">
        <v>138</v>
      </c>
      <c r="V10" s="74"/>
      <c r="W10" s="26" t="s">
        <v>48</v>
      </c>
      <c r="X10">
        <v>3</v>
      </c>
      <c r="Y10" t="s">
        <v>144</v>
      </c>
      <c r="Z10" s="74"/>
      <c r="AA10" s="26" t="s">
        <v>48</v>
      </c>
      <c r="AB10">
        <v>3.5</v>
      </c>
      <c r="AC10" t="s">
        <v>152</v>
      </c>
    </row>
    <row r="11" spans="2:29" ht="16.5" thickBot="1" x14ac:dyDescent="0.45">
      <c r="B11" s="24"/>
      <c r="C11" s="24"/>
      <c r="D11" s="24"/>
      <c r="E11" s="24"/>
      <c r="F11" s="24"/>
      <c r="G11" s="24"/>
      <c r="H11" s="24"/>
      <c r="S11" s="26" t="s">
        <v>46</v>
      </c>
      <c r="T11">
        <v>3.5</v>
      </c>
      <c r="U11" t="s">
        <v>139</v>
      </c>
      <c r="V11" s="74"/>
      <c r="W11" s="26" t="s">
        <v>46</v>
      </c>
      <c r="X11">
        <v>3.5</v>
      </c>
      <c r="Y11" t="s">
        <v>145</v>
      </c>
      <c r="Z11" s="74"/>
      <c r="AA11" s="26" t="s">
        <v>46</v>
      </c>
      <c r="AB11">
        <v>3</v>
      </c>
      <c r="AC11" t="s">
        <v>153</v>
      </c>
    </row>
    <row r="12" spans="2:29" ht="16.5" thickBot="1" x14ac:dyDescent="0.45">
      <c r="B12" s="24"/>
      <c r="C12" s="24"/>
      <c r="D12" s="24"/>
      <c r="E12" s="24"/>
      <c r="F12" s="24"/>
      <c r="G12" s="24"/>
      <c r="H12" s="24"/>
      <c r="S12" t="s">
        <v>53</v>
      </c>
      <c r="T12" s="21"/>
      <c r="U12" t="s">
        <v>59</v>
      </c>
      <c r="V12" s="74"/>
      <c r="W12" t="s">
        <v>161</v>
      </c>
      <c r="X12" s="49"/>
      <c r="Y12" t="s">
        <v>52</v>
      </c>
      <c r="Z12" s="74"/>
      <c r="AA12" t="s">
        <v>154</v>
      </c>
      <c r="AB12" s="49"/>
      <c r="AC12" t="s">
        <v>51</v>
      </c>
    </row>
    <row r="13" spans="2:29" x14ac:dyDescent="0.4">
      <c r="B13" s="24"/>
      <c r="C13" s="24"/>
      <c r="D13" s="24"/>
      <c r="E13" s="24"/>
      <c r="F13" s="24"/>
      <c r="G13" s="24"/>
      <c r="H13" s="24"/>
      <c r="S13" s="26" t="s">
        <v>42</v>
      </c>
      <c r="T13" s="26" t="s">
        <v>43</v>
      </c>
      <c r="U13" s="26" t="s">
        <v>44</v>
      </c>
      <c r="V13" s="73"/>
      <c r="W13" s="26" t="s">
        <v>42</v>
      </c>
      <c r="X13" s="26" t="s">
        <v>43</v>
      </c>
      <c r="Y13" s="26" t="s">
        <v>44</v>
      </c>
      <c r="Z13" s="73"/>
      <c r="AA13" s="26" t="s">
        <v>42</v>
      </c>
      <c r="AB13" s="26" t="s">
        <v>43</v>
      </c>
      <c r="AC13" s="26" t="s">
        <v>44</v>
      </c>
    </row>
    <row r="14" spans="2:29" x14ac:dyDescent="0.4">
      <c r="S14" s="26" t="s">
        <v>155</v>
      </c>
      <c r="T14">
        <v>2.5</v>
      </c>
      <c r="U14" t="s">
        <v>54</v>
      </c>
      <c r="V14" s="74"/>
      <c r="W14" s="26" t="s">
        <v>155</v>
      </c>
      <c r="X14">
        <v>3.5</v>
      </c>
      <c r="Y14" t="s">
        <v>162</v>
      </c>
      <c r="Z14" s="74"/>
      <c r="AA14" s="26" t="s">
        <v>155</v>
      </c>
      <c r="AB14">
        <v>3.5</v>
      </c>
      <c r="AC14" t="s">
        <v>156</v>
      </c>
    </row>
    <row r="15" spans="2:29" ht="16.5" thickBot="1" x14ac:dyDescent="0.45">
      <c r="S15" s="26" t="s">
        <v>157</v>
      </c>
      <c r="T15">
        <v>3.5</v>
      </c>
      <c r="U15" t="s">
        <v>55</v>
      </c>
      <c r="V15" s="74"/>
      <c r="W15" s="26" t="s">
        <v>157</v>
      </c>
      <c r="X15">
        <v>4</v>
      </c>
      <c r="Y15" t="s">
        <v>163</v>
      </c>
      <c r="Z15" s="74"/>
      <c r="AA15" s="26" t="s">
        <v>157</v>
      </c>
      <c r="AB15">
        <v>3.5</v>
      </c>
      <c r="AC15" t="s">
        <v>61</v>
      </c>
    </row>
    <row r="16" spans="2:29" ht="16.5" thickBot="1" x14ac:dyDescent="0.45">
      <c r="B16" s="25"/>
      <c r="C16" s="25"/>
      <c r="D16" s="78" t="s">
        <v>40</v>
      </c>
      <c r="E16" s="79"/>
      <c r="F16" s="48"/>
      <c r="G16" s="25"/>
      <c r="H16" s="25"/>
      <c r="L16" s="76" t="s">
        <v>41</v>
      </c>
      <c r="M16" s="77"/>
      <c r="N16" s="44"/>
      <c r="S16" s="26" t="s">
        <v>158</v>
      </c>
      <c r="T16">
        <v>3.5</v>
      </c>
      <c r="U16" t="s">
        <v>56</v>
      </c>
      <c r="V16" s="74"/>
      <c r="W16" s="26" t="s">
        <v>158</v>
      </c>
      <c r="X16">
        <v>4</v>
      </c>
      <c r="Y16" t="s">
        <v>164</v>
      </c>
      <c r="Z16" s="74"/>
      <c r="AA16" s="26" t="s">
        <v>158</v>
      </c>
      <c r="AB16">
        <v>3.5</v>
      </c>
      <c r="AC16" t="s">
        <v>62</v>
      </c>
    </row>
    <row r="17" spans="2:29" x14ac:dyDescent="0.4">
      <c r="B17" s="27" t="s">
        <v>133</v>
      </c>
      <c r="C17" s="28" t="s">
        <v>66</v>
      </c>
      <c r="D17" s="28" t="s">
        <v>38</v>
      </c>
      <c r="E17" s="28" t="s">
        <v>39</v>
      </c>
      <c r="F17" s="28" t="s">
        <v>134</v>
      </c>
      <c r="G17" s="28" t="s">
        <v>132</v>
      </c>
      <c r="H17" s="29" t="s">
        <v>67</v>
      </c>
      <c r="J17" s="27" t="s">
        <v>133</v>
      </c>
      <c r="K17" s="28" t="s">
        <v>66</v>
      </c>
      <c r="L17" s="28" t="s">
        <v>38</v>
      </c>
      <c r="M17" s="28" t="s">
        <v>39</v>
      </c>
      <c r="N17" s="28" t="s">
        <v>134</v>
      </c>
      <c r="O17" s="28" t="s">
        <v>132</v>
      </c>
      <c r="P17" s="29" t="s">
        <v>67</v>
      </c>
      <c r="S17" s="26" t="s">
        <v>159</v>
      </c>
      <c r="T17">
        <v>3</v>
      </c>
      <c r="U17" t="s">
        <v>57</v>
      </c>
      <c r="V17" s="74"/>
      <c r="W17" s="26" t="s">
        <v>159</v>
      </c>
      <c r="X17">
        <v>3.5</v>
      </c>
      <c r="Y17" t="s">
        <v>165</v>
      </c>
      <c r="Z17" s="74"/>
      <c r="AA17" s="26" t="s">
        <v>159</v>
      </c>
      <c r="AB17">
        <v>3</v>
      </c>
      <c r="AC17" t="s">
        <v>63</v>
      </c>
    </row>
    <row r="18" spans="2:29" ht="16.5" thickBot="1" x14ac:dyDescent="0.45">
      <c r="B18" s="24">
        <f>'[1]Week Result'!$AK$19</f>
        <v>0.69999999999999929</v>
      </c>
      <c r="C18" s="24">
        <f>'[1]Week Result'!$AK$39</f>
        <v>1.9299999999999997</v>
      </c>
      <c r="D18" s="24"/>
      <c r="E18" s="24">
        <f>'[1]Week Result'!$AE$24</f>
        <v>0</v>
      </c>
      <c r="F18" s="24">
        <f>'[1]Week Result'!$AR$32</f>
        <v>0.74000000000000199</v>
      </c>
      <c r="G18" s="24">
        <f>'[1]Week Result'!$AE$39</f>
        <v>0</v>
      </c>
      <c r="H18" s="24">
        <f>'[1]Week Result'!$AE$19</f>
        <v>7.2299999999999969</v>
      </c>
      <c r="J18" s="24">
        <v>4.4000000000000004</v>
      </c>
      <c r="K18" s="24">
        <v>3.4</v>
      </c>
      <c r="L18" s="24">
        <v>3.7</v>
      </c>
      <c r="M18" s="24">
        <v>3.4</v>
      </c>
      <c r="N18" s="24"/>
      <c r="O18" s="24">
        <v>3</v>
      </c>
      <c r="P18" s="24">
        <v>3.3</v>
      </c>
      <c r="S18" s="26" t="s">
        <v>160</v>
      </c>
      <c r="T18">
        <v>3</v>
      </c>
      <c r="U18" t="s">
        <v>58</v>
      </c>
      <c r="V18" s="75"/>
      <c r="W18" s="26" t="s">
        <v>160</v>
      </c>
      <c r="X18">
        <v>3.5</v>
      </c>
      <c r="Y18" t="s">
        <v>166</v>
      </c>
      <c r="Z18" s="75"/>
      <c r="AA18" s="26" t="s">
        <v>160</v>
      </c>
      <c r="AB18">
        <v>3.5</v>
      </c>
      <c r="AC18" t="s">
        <v>64</v>
      </c>
    </row>
    <row r="19" spans="2:29" x14ac:dyDescent="0.4">
      <c r="B19" s="24"/>
      <c r="C19" s="24"/>
      <c r="D19" s="24"/>
      <c r="E19" s="24"/>
      <c r="F19" s="24"/>
      <c r="G19" s="24"/>
      <c r="H19" s="24"/>
    </row>
    <row r="27" spans="2:29" x14ac:dyDescent="0.4">
      <c r="B27" s="22"/>
    </row>
  </sheetData>
  <mergeCells count="7">
    <mergeCell ref="S4:AC4"/>
    <mergeCell ref="Z5:Z18"/>
    <mergeCell ref="V5:V18"/>
    <mergeCell ref="D4:E4"/>
    <mergeCell ref="L4:M4"/>
    <mergeCell ref="D16:E16"/>
    <mergeCell ref="L16:M16"/>
  </mergeCells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C629-9934-49E8-936D-23FA3681C33B}">
  <dimension ref="A1:C7"/>
  <sheetViews>
    <sheetView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3.5</v>
      </c>
      <c r="C2" t="s">
        <v>156</v>
      </c>
    </row>
    <row r="3" spans="1:3" x14ac:dyDescent="0.4">
      <c r="A3" s="26" t="s">
        <v>194</v>
      </c>
      <c r="B3">
        <v>3.5</v>
      </c>
      <c r="C3" t="s">
        <v>61</v>
      </c>
    </row>
    <row r="4" spans="1:3" x14ac:dyDescent="0.4">
      <c r="A4" s="26" t="s">
        <v>193</v>
      </c>
      <c r="B4">
        <v>3.5</v>
      </c>
      <c r="C4" t="s">
        <v>62</v>
      </c>
    </row>
    <row r="5" spans="1:3" x14ac:dyDescent="0.4">
      <c r="A5" s="26" t="s">
        <v>192</v>
      </c>
      <c r="B5">
        <v>3</v>
      </c>
      <c r="C5" t="s">
        <v>63</v>
      </c>
    </row>
    <row r="6" spans="1:3" x14ac:dyDescent="0.4">
      <c r="A6" s="26" t="s">
        <v>191</v>
      </c>
      <c r="B6">
        <v>3.5</v>
      </c>
      <c r="C6" t="s">
        <v>64</v>
      </c>
    </row>
    <row r="7" spans="1:3" x14ac:dyDescent="0.4">
      <c r="A7" s="26" t="s">
        <v>190</v>
      </c>
      <c r="B7">
        <v>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6382-DCD1-4561-8E34-C90E16F5544F}">
  <dimension ref="A1:C7"/>
  <sheetViews>
    <sheetView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3.5</v>
      </c>
      <c r="C2" t="s">
        <v>162</v>
      </c>
    </row>
    <row r="3" spans="1:3" x14ac:dyDescent="0.4">
      <c r="A3" s="26" t="s">
        <v>194</v>
      </c>
      <c r="B3">
        <v>4</v>
      </c>
      <c r="C3" t="s">
        <v>163</v>
      </c>
    </row>
    <row r="4" spans="1:3" x14ac:dyDescent="0.4">
      <c r="A4" s="26" t="s">
        <v>193</v>
      </c>
      <c r="B4">
        <v>4</v>
      </c>
      <c r="C4" t="s">
        <v>164</v>
      </c>
    </row>
    <row r="5" spans="1:3" x14ac:dyDescent="0.4">
      <c r="A5" s="26" t="s">
        <v>192</v>
      </c>
      <c r="B5">
        <v>3.5</v>
      </c>
      <c r="C5" t="s">
        <v>165</v>
      </c>
    </row>
    <row r="6" spans="1:3" x14ac:dyDescent="0.4">
      <c r="A6" s="26" t="s">
        <v>191</v>
      </c>
      <c r="B6">
        <v>3.5</v>
      </c>
      <c r="C6" t="s">
        <v>166</v>
      </c>
    </row>
    <row r="7" spans="1:3" x14ac:dyDescent="0.4">
      <c r="A7" s="26" t="s">
        <v>190</v>
      </c>
      <c r="B7">
        <v>3.7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0693-0BF4-4CE8-B381-FD7505AD1F6F}">
  <dimension ref="A1:C7"/>
  <sheetViews>
    <sheetView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2.5</v>
      </c>
      <c r="C2" t="s">
        <v>54</v>
      </c>
    </row>
    <row r="3" spans="1:3" x14ac:dyDescent="0.4">
      <c r="A3" s="26" t="s">
        <v>194</v>
      </c>
      <c r="B3">
        <v>3.5</v>
      </c>
      <c r="C3" t="s">
        <v>55</v>
      </c>
    </row>
    <row r="4" spans="1:3" x14ac:dyDescent="0.4">
      <c r="A4" s="26" t="s">
        <v>193</v>
      </c>
      <c r="B4">
        <v>3.5</v>
      </c>
      <c r="C4" t="s">
        <v>56</v>
      </c>
    </row>
    <row r="5" spans="1:3" x14ac:dyDescent="0.4">
      <c r="A5" s="26" t="s">
        <v>192</v>
      </c>
      <c r="B5">
        <v>3</v>
      </c>
      <c r="C5" t="s">
        <v>57</v>
      </c>
    </row>
    <row r="6" spans="1:3" x14ac:dyDescent="0.4">
      <c r="A6" s="26" t="s">
        <v>191</v>
      </c>
      <c r="B6">
        <v>3</v>
      </c>
      <c r="C6" t="s">
        <v>58</v>
      </c>
    </row>
    <row r="7" spans="1:3" x14ac:dyDescent="0.4">
      <c r="A7" s="26" t="s">
        <v>190</v>
      </c>
      <c r="B7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FC76-F784-4EB4-B152-FE8ABB1CAF9E}">
  <dimension ref="A1:C7"/>
  <sheetViews>
    <sheetView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3</v>
      </c>
      <c r="C2" t="s">
        <v>149</v>
      </c>
    </row>
    <row r="3" spans="1:3" x14ac:dyDescent="0.4">
      <c r="A3" s="26" t="s">
        <v>194</v>
      </c>
      <c r="B3">
        <v>3.5</v>
      </c>
      <c r="C3" t="s">
        <v>150</v>
      </c>
    </row>
    <row r="4" spans="1:3" x14ac:dyDescent="0.4">
      <c r="A4" s="26" t="s">
        <v>193</v>
      </c>
      <c r="B4">
        <v>3.5</v>
      </c>
      <c r="C4" t="s">
        <v>151</v>
      </c>
    </row>
    <row r="5" spans="1:3" x14ac:dyDescent="0.4">
      <c r="A5" s="26" t="s">
        <v>192</v>
      </c>
      <c r="B5">
        <v>3.5</v>
      </c>
      <c r="C5" t="s">
        <v>152</v>
      </c>
    </row>
    <row r="6" spans="1:3" x14ac:dyDescent="0.4">
      <c r="A6" s="26" t="s">
        <v>191</v>
      </c>
      <c r="B6">
        <v>3</v>
      </c>
      <c r="C6" t="s">
        <v>153</v>
      </c>
    </row>
    <row r="7" spans="1:3" x14ac:dyDescent="0.4">
      <c r="A7" s="26" t="s">
        <v>190</v>
      </c>
      <c r="B7">
        <v>3.3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9C5A-950A-4F4D-ADAE-D5E01C128D2C}">
  <dimension ref="A1:C7"/>
  <sheetViews>
    <sheetView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3</v>
      </c>
      <c r="C2" t="s">
        <v>141</v>
      </c>
    </row>
    <row r="3" spans="1:3" x14ac:dyDescent="0.4">
      <c r="A3" s="26" t="s">
        <v>194</v>
      </c>
      <c r="B3">
        <v>3.5</v>
      </c>
      <c r="C3" t="s">
        <v>142</v>
      </c>
    </row>
    <row r="4" spans="1:3" x14ac:dyDescent="0.4">
      <c r="A4" s="26" t="s">
        <v>193</v>
      </c>
      <c r="B4">
        <v>3.5</v>
      </c>
      <c r="C4" t="s">
        <v>143</v>
      </c>
    </row>
    <row r="5" spans="1:3" x14ac:dyDescent="0.4">
      <c r="A5" s="26" t="s">
        <v>192</v>
      </c>
      <c r="B5">
        <v>3</v>
      </c>
      <c r="C5" t="s">
        <v>144</v>
      </c>
    </row>
    <row r="6" spans="1:3" x14ac:dyDescent="0.4">
      <c r="A6" s="26" t="s">
        <v>191</v>
      </c>
      <c r="B6">
        <v>3.5</v>
      </c>
      <c r="C6" t="s">
        <v>145</v>
      </c>
    </row>
    <row r="7" spans="1:3" x14ac:dyDescent="0.4">
      <c r="A7" s="26" t="s">
        <v>190</v>
      </c>
      <c r="B7">
        <v>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71E0-6666-4D8B-B3DC-A1E3DA5B7B8F}">
  <dimension ref="A1:C7"/>
  <sheetViews>
    <sheetView topLeftCell="O1" workbookViewId="0">
      <selection sqref="A1:XFD1"/>
    </sheetView>
  </sheetViews>
  <sheetFormatPr defaultRowHeight="16" x14ac:dyDescent="0.4"/>
  <sheetData>
    <row r="1" spans="1:3" x14ac:dyDescent="0.4">
      <c r="A1" s="26" t="s">
        <v>42</v>
      </c>
      <c r="B1" s="26" t="s">
        <v>43</v>
      </c>
      <c r="C1" s="26" t="s">
        <v>44</v>
      </c>
    </row>
    <row r="2" spans="1:3" x14ac:dyDescent="0.4">
      <c r="A2" s="26" t="s">
        <v>195</v>
      </c>
      <c r="B2">
        <v>4</v>
      </c>
      <c r="C2" t="s">
        <v>135</v>
      </c>
    </row>
    <row r="3" spans="1:3" x14ac:dyDescent="0.4">
      <c r="A3" s="26" t="s">
        <v>194</v>
      </c>
      <c r="B3">
        <v>3.5</v>
      </c>
      <c r="C3" t="s">
        <v>136</v>
      </c>
    </row>
    <row r="4" spans="1:3" x14ac:dyDescent="0.4">
      <c r="A4" s="26" t="s">
        <v>193</v>
      </c>
      <c r="B4">
        <v>3.5</v>
      </c>
      <c r="C4" t="s">
        <v>137</v>
      </c>
    </row>
    <row r="5" spans="1:3" x14ac:dyDescent="0.4">
      <c r="A5" s="26" t="s">
        <v>192</v>
      </c>
      <c r="B5">
        <v>4</v>
      </c>
      <c r="C5" t="s">
        <v>138</v>
      </c>
    </row>
    <row r="6" spans="1:3" x14ac:dyDescent="0.4">
      <c r="A6" s="26" t="s">
        <v>191</v>
      </c>
      <c r="B6">
        <v>3.5</v>
      </c>
      <c r="C6" t="s">
        <v>139</v>
      </c>
    </row>
    <row r="7" spans="1:3" x14ac:dyDescent="0.4">
      <c r="A7" s="26" t="s">
        <v>190</v>
      </c>
      <c r="B7">
        <v>3.8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52F6-4406-4F02-8BCE-628099E62F45}">
  <dimension ref="A1:G3"/>
  <sheetViews>
    <sheetView topLeftCell="C1" workbookViewId="0">
      <selection activeCell="E1" sqref="E1"/>
    </sheetView>
  </sheetViews>
  <sheetFormatPr defaultRowHeight="16" x14ac:dyDescent="0.4"/>
  <sheetData>
    <row r="1" spans="1:7" x14ac:dyDescent="0.4">
      <c r="A1" s="27" t="s">
        <v>133</v>
      </c>
      <c r="B1" s="28" t="s">
        <v>66</v>
      </c>
      <c r="C1" s="28" t="s">
        <v>38</v>
      </c>
      <c r="D1" s="28" t="s">
        <v>39</v>
      </c>
      <c r="E1" s="28" t="s">
        <v>110</v>
      </c>
      <c r="F1" s="28" t="s">
        <v>132</v>
      </c>
      <c r="G1" s="29" t="s">
        <v>67</v>
      </c>
    </row>
    <row r="2" spans="1:7" x14ac:dyDescent="0.4">
      <c r="A2" s="24">
        <v>0.7</v>
      </c>
      <c r="B2" s="24">
        <v>1.93</v>
      </c>
      <c r="C2" s="24"/>
      <c r="D2" s="24">
        <v>0</v>
      </c>
      <c r="E2" s="24">
        <v>0.74</v>
      </c>
      <c r="F2" s="24">
        <v>0</v>
      </c>
      <c r="G2" s="24">
        <v>7.23</v>
      </c>
    </row>
    <row r="3" spans="1:7" x14ac:dyDescent="0.4">
      <c r="A3" s="24"/>
      <c r="B3" s="24"/>
      <c r="C3" s="24"/>
      <c r="D3" s="24"/>
      <c r="E3" s="24"/>
      <c r="F3" s="24"/>
      <c r="G3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3C9E-03CA-466B-982C-EE6165039B4E}">
  <dimension ref="A1:Y2"/>
  <sheetViews>
    <sheetView workbookViewId="0">
      <selection activeCell="E1" sqref="E1"/>
    </sheetView>
  </sheetViews>
  <sheetFormatPr defaultRowHeight="16" x14ac:dyDescent="0.4"/>
  <sheetData>
    <row r="1" spans="1:25" x14ac:dyDescent="0.4">
      <c r="A1" s="27" t="s">
        <v>133</v>
      </c>
      <c r="B1" s="28" t="s">
        <v>66</v>
      </c>
      <c r="C1" s="28" t="s">
        <v>38</v>
      </c>
      <c r="D1" s="28" t="s">
        <v>39</v>
      </c>
      <c r="E1" s="28" t="s">
        <v>110</v>
      </c>
      <c r="F1" s="28" t="s">
        <v>132</v>
      </c>
      <c r="G1" s="29" t="s">
        <v>67</v>
      </c>
      <c r="S1" s="27"/>
      <c r="T1" s="28"/>
      <c r="U1" s="28"/>
      <c r="V1" s="28"/>
      <c r="W1" s="28"/>
      <c r="X1" s="28"/>
      <c r="Y1" s="29"/>
    </row>
    <row r="2" spans="1:25" x14ac:dyDescent="0.4">
      <c r="A2">
        <v>4.4000000000000004</v>
      </c>
      <c r="B2">
        <v>3.4</v>
      </c>
      <c r="C2">
        <v>3.7</v>
      </c>
      <c r="D2">
        <v>3.4</v>
      </c>
      <c r="E2">
        <v>0.74</v>
      </c>
      <c r="F2">
        <v>0</v>
      </c>
      <c r="G2">
        <v>7.23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5287-A271-43FE-BD69-F520F9830548}">
  <dimension ref="A1:G4"/>
  <sheetViews>
    <sheetView workbookViewId="0">
      <selection activeCell="E1" sqref="E1"/>
    </sheetView>
  </sheetViews>
  <sheetFormatPr defaultRowHeight="16" x14ac:dyDescent="0.4"/>
  <sheetData>
    <row r="1" spans="1:7" x14ac:dyDescent="0.4">
      <c r="A1" s="27" t="s">
        <v>133</v>
      </c>
      <c r="B1" s="28" t="s">
        <v>66</v>
      </c>
      <c r="C1" s="28" t="s">
        <v>38</v>
      </c>
      <c r="D1" s="28" t="s">
        <v>39</v>
      </c>
      <c r="E1" s="28" t="s">
        <v>110</v>
      </c>
      <c r="F1" s="28" t="s">
        <v>132</v>
      </c>
      <c r="G1" s="29" t="s">
        <v>67</v>
      </c>
    </row>
    <row r="2" spans="1:7" x14ac:dyDescent="0.4">
      <c r="A2">
        <v>14.22</v>
      </c>
      <c r="B2">
        <v>22.2</v>
      </c>
      <c r="C2">
        <v>20.27</v>
      </c>
      <c r="D2">
        <v>35</v>
      </c>
      <c r="E2">
        <v>31.3</v>
      </c>
      <c r="F2">
        <v>32</v>
      </c>
      <c r="G2">
        <v>55.69</v>
      </c>
    </row>
    <row r="3" spans="1:7" x14ac:dyDescent="0.4">
      <c r="A3">
        <v>14.92</v>
      </c>
      <c r="D3">
        <v>35</v>
      </c>
      <c r="E3">
        <v>30.56</v>
      </c>
      <c r="G3">
        <v>48.46</v>
      </c>
    </row>
    <row r="4" spans="1:7" x14ac:dyDescent="0.4">
      <c r="D4">
        <v>32</v>
      </c>
      <c r="E4">
        <v>33.5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64A1-5DC7-45CB-900A-3E5538840EEA}">
  <dimension ref="A1:G2"/>
  <sheetViews>
    <sheetView tabSelected="1" workbookViewId="0">
      <selection activeCell="E1" sqref="E1"/>
    </sheetView>
  </sheetViews>
  <sheetFormatPr defaultRowHeight="16" x14ac:dyDescent="0.4"/>
  <sheetData>
    <row r="1" spans="1:7" x14ac:dyDescent="0.4">
      <c r="A1" s="27" t="s">
        <v>133</v>
      </c>
      <c r="B1" s="28" t="s">
        <v>66</v>
      </c>
      <c r="C1" s="28" t="s">
        <v>38</v>
      </c>
      <c r="D1" s="28" t="s">
        <v>39</v>
      </c>
      <c r="E1" s="28" t="s">
        <v>110</v>
      </c>
      <c r="F1" s="28" t="s">
        <v>132</v>
      </c>
      <c r="G1" s="29" t="s">
        <v>67</v>
      </c>
    </row>
    <row r="2" spans="1:7" x14ac:dyDescent="0.4">
      <c r="A2">
        <v>4.9226440000000003E-2</v>
      </c>
      <c r="B2">
        <v>9.5214499999999994E-2</v>
      </c>
      <c r="D2">
        <v>0</v>
      </c>
      <c r="E2">
        <v>2.4214659999999999E-2</v>
      </c>
      <c r="F2">
        <v>0</v>
      </c>
      <c r="G2">
        <v>0.14919520999999999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644A-AD0B-6E42-A71B-1F5BEB088485}">
  <dimension ref="B3:AJ32"/>
  <sheetViews>
    <sheetView topLeftCell="A6" workbookViewId="0">
      <selection activeCell="Y21" sqref="Y21"/>
    </sheetView>
  </sheetViews>
  <sheetFormatPr defaultColWidth="10.6640625" defaultRowHeight="16" x14ac:dyDescent="0.4"/>
  <cols>
    <col min="2" max="2" width="27" customWidth="1"/>
    <col min="3" max="3" width="81" bestFit="1" customWidth="1"/>
    <col min="4" max="4" width="3" customWidth="1"/>
    <col min="5" max="5" width="20.5" customWidth="1"/>
    <col min="6" max="6" width="11" customWidth="1"/>
    <col min="12" max="12" width="12.6640625" customWidth="1"/>
    <col min="13" max="13" width="2.33203125" customWidth="1"/>
    <col min="14" max="14" width="25" bestFit="1" customWidth="1"/>
    <col min="17" max="17" width="34.83203125" bestFit="1" customWidth="1"/>
    <col min="18" max="18" width="2" customWidth="1"/>
    <col min="26" max="26" width="33.83203125" bestFit="1" customWidth="1"/>
    <col min="27" max="27" width="3" customWidth="1"/>
  </cols>
  <sheetData>
    <row r="3" spans="2:36" ht="16.5" thickBot="1" x14ac:dyDescent="0.45"/>
    <row r="4" spans="2:36" ht="16.5" thickBot="1" x14ac:dyDescent="0.45">
      <c r="B4" s="76" t="s">
        <v>81</v>
      </c>
      <c r="C4" s="70"/>
      <c r="D4" s="70"/>
      <c r="E4" s="69"/>
      <c r="F4" s="69"/>
      <c r="G4" s="69"/>
      <c r="H4" s="69"/>
      <c r="I4" s="69"/>
      <c r="J4" s="69"/>
      <c r="K4" s="69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7"/>
    </row>
    <row r="5" spans="2:36" ht="16.5" thickBot="1" x14ac:dyDescent="0.45">
      <c r="B5" s="80" t="s">
        <v>82</v>
      </c>
      <c r="C5" s="81"/>
      <c r="E5" s="82" t="s">
        <v>85</v>
      </c>
      <c r="F5" s="83"/>
      <c r="G5" s="83"/>
      <c r="H5" s="83"/>
      <c r="I5" s="83"/>
      <c r="J5" s="83"/>
      <c r="K5" s="83"/>
      <c r="L5" s="84"/>
      <c r="N5" s="85" t="s">
        <v>97</v>
      </c>
      <c r="O5" s="86"/>
      <c r="P5" s="86"/>
      <c r="Q5" s="87"/>
      <c r="S5" s="88" t="s">
        <v>114</v>
      </c>
      <c r="T5" s="89"/>
      <c r="U5" s="89"/>
      <c r="V5" s="89"/>
      <c r="W5" s="89"/>
      <c r="X5" s="89"/>
      <c r="Y5" s="89"/>
      <c r="Z5" s="90"/>
      <c r="AB5" s="85" t="s">
        <v>123</v>
      </c>
      <c r="AC5" s="86"/>
      <c r="AD5" s="86"/>
      <c r="AE5" s="86"/>
      <c r="AF5" s="86"/>
      <c r="AG5" s="86"/>
      <c r="AH5" s="86"/>
      <c r="AI5" s="86"/>
      <c r="AJ5" s="87"/>
    </row>
    <row r="6" spans="2:36" x14ac:dyDescent="0.4">
      <c r="B6" s="35"/>
      <c r="C6" s="34"/>
      <c r="E6" s="35"/>
      <c r="F6" s="4"/>
      <c r="G6" s="4"/>
      <c r="H6" s="4"/>
      <c r="I6" s="4"/>
      <c r="J6" s="4"/>
      <c r="K6" s="4"/>
      <c r="L6" s="34"/>
      <c r="N6" s="31"/>
      <c r="O6" s="39"/>
      <c r="P6" s="39"/>
      <c r="Q6" s="32"/>
      <c r="S6" s="31"/>
      <c r="T6" s="39"/>
      <c r="U6" s="39"/>
      <c r="V6" s="39"/>
      <c r="W6" s="39"/>
      <c r="X6" s="39"/>
      <c r="Y6" s="39"/>
      <c r="Z6" s="32"/>
      <c r="AB6" s="31"/>
      <c r="AC6" s="39"/>
      <c r="AD6" s="39"/>
      <c r="AE6" s="39"/>
      <c r="AF6" s="39"/>
      <c r="AG6" s="39"/>
      <c r="AH6" s="39"/>
      <c r="AI6" s="39"/>
      <c r="AJ6" s="32"/>
    </row>
    <row r="7" spans="2:36" x14ac:dyDescent="0.4">
      <c r="B7" s="35" t="s">
        <v>68</v>
      </c>
      <c r="C7" s="34"/>
      <c r="E7" s="33" t="s">
        <v>86</v>
      </c>
      <c r="F7" s="4"/>
      <c r="G7" s="4"/>
      <c r="H7" s="4"/>
      <c r="I7" s="4"/>
      <c r="J7" s="4"/>
      <c r="K7" s="4"/>
      <c r="L7" s="34"/>
      <c r="N7" s="33" t="s">
        <v>98</v>
      </c>
      <c r="O7" s="30" t="s">
        <v>99</v>
      </c>
      <c r="P7" s="30" t="s">
        <v>100</v>
      </c>
      <c r="Q7" s="36" t="s">
        <v>101</v>
      </c>
      <c r="S7" s="33" t="s">
        <v>98</v>
      </c>
      <c r="T7" s="30" t="s">
        <v>45</v>
      </c>
      <c r="U7" s="30" t="s">
        <v>46</v>
      </c>
      <c r="V7" s="30" t="s">
        <v>47</v>
      </c>
      <c r="W7" s="30" t="s">
        <v>48</v>
      </c>
      <c r="X7" s="30" t="s">
        <v>46</v>
      </c>
      <c r="Y7" s="30" t="s">
        <v>115</v>
      </c>
      <c r="Z7" s="36" t="s">
        <v>44</v>
      </c>
      <c r="AB7" s="33" t="s">
        <v>124</v>
      </c>
      <c r="AC7" s="4"/>
      <c r="AD7" s="4"/>
      <c r="AE7" s="4"/>
      <c r="AF7" s="4"/>
      <c r="AG7" s="4"/>
      <c r="AH7" s="4"/>
      <c r="AI7" s="4"/>
      <c r="AJ7" s="34"/>
    </row>
    <row r="8" spans="2:36" x14ac:dyDescent="0.4">
      <c r="B8" s="35"/>
      <c r="C8" s="36" t="s">
        <v>69</v>
      </c>
      <c r="E8" s="35"/>
      <c r="F8" s="4" t="s">
        <v>87</v>
      </c>
      <c r="G8" s="4"/>
      <c r="H8" s="4"/>
      <c r="I8" s="4"/>
      <c r="J8" s="4"/>
      <c r="K8" s="4"/>
      <c r="L8" s="34"/>
      <c r="N8" s="35" t="s">
        <v>102</v>
      </c>
      <c r="O8" s="30">
        <v>0.05</v>
      </c>
      <c r="P8" s="4">
        <v>1.0999999999999999E-2</v>
      </c>
      <c r="Q8" s="34" t="s">
        <v>103</v>
      </c>
      <c r="S8" s="33" t="s">
        <v>116</v>
      </c>
      <c r="T8" s="4">
        <v>5</v>
      </c>
      <c r="U8" s="4">
        <v>4</v>
      </c>
      <c r="V8" s="4">
        <v>5</v>
      </c>
      <c r="W8" s="4">
        <v>4</v>
      </c>
      <c r="X8" s="4">
        <v>4</v>
      </c>
      <c r="Y8" s="30">
        <v>4.4000000000000004</v>
      </c>
      <c r="Z8" s="34" t="s">
        <v>117</v>
      </c>
      <c r="AB8" s="35"/>
      <c r="AC8" s="4"/>
      <c r="AD8" s="4"/>
      <c r="AE8" s="4"/>
      <c r="AF8" s="4"/>
      <c r="AG8" s="4"/>
      <c r="AH8" s="4"/>
      <c r="AI8" s="4"/>
      <c r="AJ8" s="34"/>
    </row>
    <row r="9" spans="2:36" x14ac:dyDescent="0.4">
      <c r="B9" s="35"/>
      <c r="C9" s="34"/>
      <c r="E9" s="35"/>
      <c r="F9" s="4"/>
      <c r="G9" s="4" t="s">
        <v>93</v>
      </c>
      <c r="H9" s="4"/>
      <c r="I9" s="4"/>
      <c r="J9" s="4"/>
      <c r="K9" s="4"/>
      <c r="L9" s="34"/>
      <c r="N9" s="35" t="s">
        <v>104</v>
      </c>
      <c r="O9" s="30">
        <v>6</v>
      </c>
      <c r="P9" s="4">
        <v>0.375</v>
      </c>
      <c r="Q9" s="34" t="s">
        <v>105</v>
      </c>
      <c r="S9" s="33" t="s">
        <v>50</v>
      </c>
      <c r="T9" s="4">
        <v>3.5</v>
      </c>
      <c r="U9" s="4">
        <v>3.5</v>
      </c>
      <c r="V9" s="4">
        <v>3.5</v>
      </c>
      <c r="W9" s="4">
        <v>3</v>
      </c>
      <c r="X9" s="4">
        <v>3.5</v>
      </c>
      <c r="Y9" s="30">
        <v>3.4</v>
      </c>
      <c r="Z9" s="34" t="s">
        <v>118</v>
      </c>
      <c r="AB9" s="33" t="s">
        <v>125</v>
      </c>
      <c r="AC9" s="4"/>
      <c r="AD9" s="4"/>
      <c r="AE9" s="4"/>
      <c r="AF9" s="4"/>
      <c r="AG9" s="4"/>
      <c r="AH9" s="4"/>
      <c r="AI9" s="4"/>
      <c r="AJ9" s="34"/>
    </row>
    <row r="10" spans="2:36" x14ac:dyDescent="0.4">
      <c r="B10" s="35"/>
      <c r="C10" s="36" t="s">
        <v>70</v>
      </c>
      <c r="E10" s="35"/>
      <c r="F10" s="4"/>
      <c r="G10" s="4"/>
      <c r="H10" s="4"/>
      <c r="I10" s="4"/>
      <c r="J10" s="4"/>
      <c r="K10" s="4"/>
      <c r="L10" s="34"/>
      <c r="N10" s="35" t="s">
        <v>38</v>
      </c>
      <c r="O10" s="30">
        <v>1.77</v>
      </c>
      <c r="P10" s="4">
        <v>8.7999999999999995E-2</v>
      </c>
      <c r="Q10" s="34" t="s">
        <v>106</v>
      </c>
      <c r="S10" s="33" t="s">
        <v>38</v>
      </c>
      <c r="T10" s="4">
        <v>4</v>
      </c>
      <c r="U10" s="4">
        <v>3.5</v>
      </c>
      <c r="V10" s="4">
        <v>3.5</v>
      </c>
      <c r="W10" s="4">
        <v>4</v>
      </c>
      <c r="X10" s="4">
        <v>3.5</v>
      </c>
      <c r="Y10" s="30">
        <v>3.7</v>
      </c>
      <c r="Z10" s="34" t="s">
        <v>119</v>
      </c>
      <c r="AB10" s="35"/>
      <c r="AC10" s="4"/>
      <c r="AD10" s="4"/>
      <c r="AE10" s="4"/>
      <c r="AF10" s="4"/>
      <c r="AG10" s="4"/>
      <c r="AH10" s="4"/>
      <c r="AI10" s="4"/>
      <c r="AJ10" s="34"/>
    </row>
    <row r="11" spans="2:36" x14ac:dyDescent="0.4">
      <c r="B11" s="35"/>
      <c r="C11" s="34"/>
      <c r="E11" s="35"/>
      <c r="F11" s="4"/>
      <c r="G11" s="4" t="s">
        <v>92</v>
      </c>
      <c r="H11" s="4"/>
      <c r="I11" s="4"/>
      <c r="J11" s="4"/>
      <c r="K11" s="4"/>
      <c r="L11" s="34"/>
      <c r="N11" s="35" t="s">
        <v>39</v>
      </c>
      <c r="O11" s="30" t="s">
        <v>107</v>
      </c>
      <c r="P11" s="4" t="s">
        <v>108</v>
      </c>
      <c r="Q11" s="34" t="s">
        <v>109</v>
      </c>
      <c r="S11" s="33" t="s">
        <v>39</v>
      </c>
      <c r="T11" s="4">
        <v>3</v>
      </c>
      <c r="U11" s="4">
        <v>3.5</v>
      </c>
      <c r="V11" s="4">
        <v>3.5</v>
      </c>
      <c r="W11" s="4">
        <v>3.5</v>
      </c>
      <c r="X11" s="4">
        <v>3.5</v>
      </c>
      <c r="Y11" s="30">
        <v>3.4</v>
      </c>
      <c r="Z11" s="34" t="s">
        <v>120</v>
      </c>
      <c r="AB11" s="33" t="s">
        <v>126</v>
      </c>
      <c r="AC11" s="4"/>
      <c r="AD11" s="4"/>
      <c r="AE11" s="4"/>
      <c r="AF11" s="4"/>
      <c r="AG11" s="4"/>
      <c r="AH11" s="4"/>
      <c r="AI11" s="4"/>
      <c r="AJ11" s="34"/>
    </row>
    <row r="12" spans="2:36" x14ac:dyDescent="0.4">
      <c r="B12" s="35"/>
      <c r="C12" s="36" t="s">
        <v>71</v>
      </c>
      <c r="E12" s="35"/>
      <c r="F12" s="4" t="s">
        <v>88</v>
      </c>
      <c r="G12" s="4"/>
      <c r="H12" s="4"/>
      <c r="I12" s="4"/>
      <c r="J12" s="4"/>
      <c r="K12" s="4"/>
      <c r="L12" s="34"/>
      <c r="N12" s="35" t="s">
        <v>110</v>
      </c>
      <c r="O12" s="30">
        <v>3.94</v>
      </c>
      <c r="P12" s="4">
        <v>0.13700000000000001</v>
      </c>
      <c r="Q12" s="34" t="s">
        <v>111</v>
      </c>
      <c r="S12" s="33" t="s">
        <v>110</v>
      </c>
      <c r="T12" s="4">
        <v>2.5</v>
      </c>
      <c r="U12" s="4">
        <v>3.5</v>
      </c>
      <c r="V12" s="4">
        <v>3</v>
      </c>
      <c r="W12" s="4">
        <v>3</v>
      </c>
      <c r="X12" s="4">
        <v>3</v>
      </c>
      <c r="Y12" s="30">
        <v>3</v>
      </c>
      <c r="Z12" s="34" t="s">
        <v>121</v>
      </c>
      <c r="AB12" s="35"/>
      <c r="AC12" s="4"/>
      <c r="AD12" s="4"/>
      <c r="AE12" s="4"/>
      <c r="AF12" s="4"/>
      <c r="AG12" s="4"/>
      <c r="AH12" s="4"/>
      <c r="AI12" s="4"/>
      <c r="AJ12" s="34"/>
    </row>
    <row r="13" spans="2:36" ht="16.5" thickBot="1" x14ac:dyDescent="0.45">
      <c r="B13" s="35"/>
      <c r="C13" s="34"/>
      <c r="E13" s="35"/>
      <c r="F13" s="4"/>
      <c r="G13" s="4" t="s">
        <v>91</v>
      </c>
      <c r="H13" s="4"/>
      <c r="I13" s="4"/>
      <c r="J13" s="4"/>
      <c r="K13" s="4"/>
      <c r="L13" s="34"/>
      <c r="N13" s="37" t="s">
        <v>112</v>
      </c>
      <c r="O13" s="42">
        <v>4.53</v>
      </c>
      <c r="P13" s="41">
        <v>9.2999999999999999E-2</v>
      </c>
      <c r="Q13" s="38" t="s">
        <v>113</v>
      </c>
      <c r="S13" s="43" t="s">
        <v>60</v>
      </c>
      <c r="T13" s="41">
        <v>3.5</v>
      </c>
      <c r="U13" s="41">
        <v>3.5</v>
      </c>
      <c r="V13" s="41">
        <v>3</v>
      </c>
      <c r="W13" s="41">
        <v>3.5</v>
      </c>
      <c r="X13" s="41">
        <v>3</v>
      </c>
      <c r="Y13" s="42">
        <v>3.3</v>
      </c>
      <c r="Z13" s="38" t="s">
        <v>122</v>
      </c>
      <c r="AB13" s="33" t="s">
        <v>127</v>
      </c>
      <c r="AC13" s="4"/>
      <c r="AD13" s="4"/>
      <c r="AE13" s="4"/>
      <c r="AF13" s="4"/>
      <c r="AG13" s="4"/>
      <c r="AH13" s="4"/>
      <c r="AI13" s="4"/>
      <c r="AJ13" s="34"/>
    </row>
    <row r="14" spans="2:36" x14ac:dyDescent="0.4">
      <c r="B14" s="35"/>
      <c r="C14" s="36" t="s">
        <v>72</v>
      </c>
      <c r="E14" s="35"/>
      <c r="F14" s="4" t="s">
        <v>89</v>
      </c>
      <c r="G14" s="4"/>
      <c r="H14" s="4"/>
      <c r="I14" s="4"/>
      <c r="J14" s="4"/>
      <c r="K14" s="4"/>
      <c r="L14" s="34"/>
      <c r="AB14" s="35"/>
      <c r="AC14" s="4"/>
      <c r="AD14" s="4"/>
      <c r="AE14" s="4"/>
      <c r="AF14" s="4"/>
      <c r="AG14" s="4"/>
      <c r="AH14" s="4"/>
      <c r="AI14" s="4"/>
      <c r="AJ14" s="34"/>
    </row>
    <row r="15" spans="2:36" x14ac:dyDescent="0.4">
      <c r="B15" s="35"/>
      <c r="C15" s="34"/>
      <c r="E15" s="35"/>
      <c r="F15" s="4"/>
      <c r="G15" s="4"/>
      <c r="H15" s="4"/>
      <c r="I15" s="4"/>
      <c r="J15" s="4"/>
      <c r="K15" s="4"/>
      <c r="L15" s="34"/>
      <c r="AB15" s="35" t="s">
        <v>128</v>
      </c>
      <c r="AC15" s="4"/>
      <c r="AD15" s="4"/>
      <c r="AE15" s="4"/>
      <c r="AF15" s="4"/>
      <c r="AG15" s="4"/>
      <c r="AH15" s="4"/>
      <c r="AI15" s="4"/>
      <c r="AJ15" s="34"/>
    </row>
    <row r="16" spans="2:36" x14ac:dyDescent="0.4">
      <c r="B16" s="35"/>
      <c r="C16" s="36" t="s">
        <v>73</v>
      </c>
      <c r="E16" s="40" t="s">
        <v>94</v>
      </c>
      <c r="F16" s="4"/>
      <c r="G16" s="4"/>
      <c r="H16" s="4"/>
      <c r="I16" s="4"/>
      <c r="J16" s="4"/>
      <c r="K16" s="4"/>
      <c r="L16" s="34"/>
      <c r="AB16" s="35"/>
      <c r="AC16" s="4"/>
      <c r="AD16" s="4"/>
      <c r="AE16" s="4"/>
      <c r="AF16" s="4"/>
      <c r="AG16" s="4"/>
      <c r="AH16" s="4"/>
      <c r="AI16" s="4"/>
      <c r="AJ16" s="34"/>
    </row>
    <row r="17" spans="2:36" x14ac:dyDescent="0.4">
      <c r="B17" s="35"/>
      <c r="C17" s="34"/>
      <c r="E17" s="35"/>
      <c r="F17" s="30" t="s">
        <v>90</v>
      </c>
      <c r="G17" s="4"/>
      <c r="H17" s="4"/>
      <c r="I17" s="4"/>
      <c r="J17" s="4"/>
      <c r="K17" s="4"/>
      <c r="L17" s="34"/>
      <c r="AB17" s="35" t="s">
        <v>129</v>
      </c>
      <c r="AC17" s="4"/>
      <c r="AD17" s="4"/>
      <c r="AE17" s="4"/>
      <c r="AF17" s="4"/>
      <c r="AG17" s="4"/>
      <c r="AH17" s="4"/>
      <c r="AI17" s="4"/>
      <c r="AJ17" s="34"/>
    </row>
    <row r="18" spans="2:36" x14ac:dyDescent="0.4">
      <c r="B18" s="35"/>
      <c r="C18" s="36" t="s">
        <v>74</v>
      </c>
      <c r="E18" s="35"/>
      <c r="F18" s="4"/>
      <c r="G18" s="4"/>
      <c r="H18" s="4"/>
      <c r="I18" s="4"/>
      <c r="J18" s="4"/>
      <c r="K18" s="4"/>
      <c r="L18" s="34"/>
      <c r="AB18" s="35"/>
      <c r="AC18" s="4"/>
      <c r="AD18" s="4"/>
      <c r="AE18" s="4"/>
      <c r="AF18" s="4"/>
      <c r="AG18" s="4"/>
      <c r="AH18" s="4"/>
      <c r="AI18" s="4"/>
      <c r="AJ18" s="34"/>
    </row>
    <row r="19" spans="2:36" ht="16.5" thickBot="1" x14ac:dyDescent="0.45">
      <c r="B19" s="35"/>
      <c r="C19" s="34"/>
      <c r="E19" s="35"/>
      <c r="F19" s="4" t="s">
        <v>95</v>
      </c>
      <c r="G19" s="4"/>
      <c r="H19" s="4"/>
      <c r="I19" s="4"/>
      <c r="J19" s="4"/>
      <c r="K19" s="4"/>
      <c r="L19" s="34"/>
      <c r="AB19" s="37" t="s">
        <v>130</v>
      </c>
      <c r="AC19" s="41"/>
      <c r="AD19" s="41"/>
      <c r="AE19" s="41"/>
      <c r="AF19" s="41"/>
      <c r="AG19" s="41"/>
      <c r="AH19" s="41"/>
      <c r="AI19" s="41"/>
      <c r="AJ19" s="38"/>
    </row>
    <row r="20" spans="2:36" x14ac:dyDescent="0.4">
      <c r="B20" s="35" t="s">
        <v>75</v>
      </c>
      <c r="C20" s="34"/>
      <c r="E20" s="35"/>
      <c r="F20" s="4"/>
      <c r="G20" s="4"/>
      <c r="H20" s="4"/>
      <c r="I20" s="4"/>
      <c r="J20" s="4"/>
      <c r="K20" s="4"/>
      <c r="L20" s="34"/>
    </row>
    <row r="21" spans="2:36" ht="16.5" thickBot="1" x14ac:dyDescent="0.45">
      <c r="B21" s="35"/>
      <c r="C21" s="36" t="s">
        <v>76</v>
      </c>
      <c r="E21" s="37"/>
      <c r="F21" s="41" t="s">
        <v>96</v>
      </c>
      <c r="G21" s="41"/>
      <c r="H21" s="41"/>
      <c r="I21" s="41"/>
      <c r="J21" s="41"/>
      <c r="K21" s="41"/>
      <c r="L21" s="38"/>
    </row>
    <row r="22" spans="2:36" x14ac:dyDescent="0.4">
      <c r="B22" s="35"/>
      <c r="C22" s="34"/>
    </row>
    <row r="23" spans="2:36" x14ac:dyDescent="0.4">
      <c r="B23" s="35"/>
      <c r="C23" s="34" t="s">
        <v>77</v>
      </c>
    </row>
    <row r="24" spans="2:36" x14ac:dyDescent="0.4">
      <c r="B24" s="35"/>
      <c r="C24" s="34"/>
    </row>
    <row r="25" spans="2:36" x14ac:dyDescent="0.4">
      <c r="B25" s="35"/>
      <c r="C25" s="34" t="s">
        <v>78</v>
      </c>
    </row>
    <row r="26" spans="2:36" x14ac:dyDescent="0.4">
      <c r="B26" s="35"/>
      <c r="C26" s="34"/>
    </row>
    <row r="27" spans="2:36" x14ac:dyDescent="0.4">
      <c r="B27" s="35" t="s">
        <v>79</v>
      </c>
      <c r="C27" s="34"/>
    </row>
    <row r="28" spans="2:36" x14ac:dyDescent="0.4">
      <c r="B28" s="35"/>
      <c r="C28" s="34" t="s">
        <v>83</v>
      </c>
    </row>
    <row r="29" spans="2:36" x14ac:dyDescent="0.4">
      <c r="B29" s="35"/>
      <c r="C29" s="34"/>
    </row>
    <row r="30" spans="2:36" x14ac:dyDescent="0.4">
      <c r="B30" s="35"/>
      <c r="C30" s="34" t="s">
        <v>84</v>
      </c>
    </row>
    <row r="31" spans="2:36" x14ac:dyDescent="0.4">
      <c r="B31" s="35"/>
      <c r="C31" s="34"/>
    </row>
    <row r="32" spans="2:36" ht="16.5" thickBot="1" x14ac:dyDescent="0.45">
      <c r="B32" s="37"/>
      <c r="C32" s="38" t="s">
        <v>80</v>
      </c>
    </row>
  </sheetData>
  <mergeCells count="6">
    <mergeCell ref="B4:AJ4"/>
    <mergeCell ref="B5:C5"/>
    <mergeCell ref="E5:L5"/>
    <mergeCell ref="N5:Q5"/>
    <mergeCell ref="S5:Z5"/>
    <mergeCell ref="AB5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Athlete Data</vt:lpstr>
      <vt:lpstr>Runs</vt:lpstr>
      <vt:lpstr>Lifts</vt:lpstr>
      <vt:lpstr>Track Test</vt:lpstr>
      <vt:lpstr>Lift Test</vt:lpstr>
      <vt:lpstr>July Trends</vt:lpstr>
      <vt:lpstr>300m @85% CISTI</vt:lpstr>
      <vt:lpstr>200m Split CISTI</vt:lpstr>
      <vt:lpstr>200m break CISTI</vt:lpstr>
      <vt:lpstr>2x150m CISTI</vt:lpstr>
      <vt:lpstr>3x300m CISTI</vt:lpstr>
      <vt:lpstr>2x100 CISTI</vt:lpstr>
      <vt:lpstr>Consistency vs Distance</vt:lpstr>
      <vt:lpstr>Effort vs Time</vt:lpstr>
      <vt:lpstr>Performance vs Distance</vt:lpstr>
      <vt:lpstr>Drop % vs Distance</vt:lpstr>
      <vt:lpstr>July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adika</dc:creator>
  <cp:lastModifiedBy>henry nyinguro</cp:lastModifiedBy>
  <dcterms:created xsi:type="dcterms:W3CDTF">2025-07-29T15:00:51Z</dcterms:created>
  <dcterms:modified xsi:type="dcterms:W3CDTF">2026-09-16T09:30:04Z</dcterms:modified>
</cp:coreProperties>
</file>